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fre\OneDrive\Desktop\Respiratory Profile App\STMC\"/>
    </mc:Choice>
  </mc:AlternateContent>
  <xr:revisionPtr revIDLastSave="0" documentId="13_ncr:1_{4DA6F4A2-95AF-47C4-B6B0-525B8005003C}" xr6:coauthVersionLast="47" xr6:coauthVersionMax="47" xr10:uidLastSave="{00000000-0000-0000-0000-000000000000}"/>
  <bookViews>
    <workbookView xWindow="-96" yWindow="0" windowWidth="11712" windowHeight="12336" firstSheet="1" activeTab="1" xr2:uid="{61BB365D-DA92-4599-BDE4-01126FB54953}"/>
  </bookViews>
  <sheets>
    <sheet name="REQUIPMENT INPUT" sheetId="8" r:id="rId1"/>
    <sheet name="EQUIPMENT MONITORING DATA" sheetId="2" r:id="rId2"/>
    <sheet name="EQUIPMENT SEARCH" sheetId="7" r:id="rId3"/>
    <sheet name="LOCATION" sheetId="10" r:id="rId4"/>
    <sheet name="EQUIPMENT INPUT" sheetId="1" state="hidden" r:id="rId5"/>
    <sheet name="FORMULA" sheetId="9" state="hidden" r:id="rId6"/>
    <sheet name="FORM SEARCH" sheetId="6" state="hidden" r:id="rId7"/>
    <sheet name="DROPDOWN" sheetId="3" state="hidden" r:id="rId8"/>
    <sheet name="RAW DATA" sheetId="4" state="hidden" r:id="rId9"/>
  </sheets>
  <definedNames>
    <definedName name="_xlnm.Print_Area" localSheetId="2">'EQUIPMENT SEARCH'!$A$14:$K$44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7" l="1" a="1"/>
  <c r="A15" i="7" s="1"/>
  <c r="A15" i="6" a="1"/>
  <c r="A15" i="6" s="1"/>
  <c r="C4" i="1"/>
  <c r="A2" i="10" a="1"/>
  <c r="B3" i="10" s="1"/>
  <c r="C1" i="8"/>
  <c r="B11" i="10" l="1"/>
  <c r="B6" i="10"/>
  <c r="B14" i="10"/>
  <c r="B7" i="10"/>
  <c r="B15" i="10"/>
  <c r="B10" i="10"/>
  <c r="A2" i="10"/>
  <c r="B2" i="10" s="1"/>
  <c r="B4" i="10"/>
  <c r="B8" i="10"/>
  <c r="B12" i="10"/>
  <c r="B16" i="10"/>
  <c r="B5" i="10"/>
  <c r="B9" i="10"/>
  <c r="B13" i="10"/>
  <c r="G10" i="8"/>
  <c r="D1" i="9"/>
  <c r="C1" i="9"/>
  <c r="A1" i="7"/>
  <c r="B5" i="9"/>
  <c r="B11" i="9"/>
  <c r="B8" i="9"/>
  <c r="B7" i="9"/>
  <c r="B6" i="9"/>
  <c r="B4" i="9"/>
  <c r="B3" i="9"/>
  <c r="B2" i="9"/>
  <c r="A1" i="8"/>
  <c r="D27" i="8" s="1"/>
  <c r="D18" i="1"/>
  <c r="D30" i="8"/>
  <c r="D31" i="8"/>
  <c r="D35" i="8"/>
  <c r="D34" i="8"/>
  <c r="D32" i="8"/>
  <c r="D28" i="8"/>
  <c r="D29" i="8"/>
  <c r="G3" i="8" a="1"/>
  <c r="G3" i="8" s="1"/>
  <c r="D26" i="8" s="1"/>
  <c r="B6" i="6"/>
  <c r="E3" i="6"/>
  <c r="E3" i="1"/>
  <c r="D19" i="1" s="1"/>
  <c r="D26" i="1"/>
  <c r="D25" i="1"/>
  <c r="D24" i="1"/>
  <c r="D23" i="1"/>
  <c r="D22" i="1"/>
  <c r="D21" i="1"/>
  <c r="D20" i="1"/>
  <c r="F12" i="8" l="1"/>
  <c r="D33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<sst xmlns="http://schemas.openxmlformats.org/spreadsheetml/2006/main" count="204" uniqueCount="95">
  <si>
    <t>STMC RT Equipment</t>
  </si>
  <si>
    <t>SERIAL NUMBER</t>
  </si>
  <si>
    <t>EQUIPMENT:</t>
  </si>
  <si>
    <t>SERIAL NUMBER:</t>
  </si>
  <si>
    <t>LOCATION:</t>
  </si>
  <si>
    <t>EQUIPMENT TYPE:</t>
  </si>
  <si>
    <t xml:space="preserve">NAME: </t>
  </si>
  <si>
    <t>ID NUMBER</t>
  </si>
  <si>
    <t>PMM STATUS:</t>
  </si>
  <si>
    <t>DATE</t>
  </si>
  <si>
    <t>NAME</t>
  </si>
  <si>
    <t xml:space="preserve">EQUIPMENT </t>
  </si>
  <si>
    <t>EQUIPMENT TYPE</t>
  </si>
  <si>
    <t>PMM STATUS</t>
  </si>
  <si>
    <t>MAINTENANCE STATUS</t>
  </si>
  <si>
    <t>LOCATION</t>
  </si>
  <si>
    <t>SEARCH BY</t>
  </si>
  <si>
    <t>SEARCH DROPDOWN</t>
  </si>
  <si>
    <t>MAINTENANCE HSTORY:</t>
  </si>
  <si>
    <t>DATE LOGGED</t>
  </si>
  <si>
    <t>BRAND</t>
  </si>
  <si>
    <t>LOCATION DROPDOWN</t>
  </si>
  <si>
    <t>Tower D rm 345</t>
  </si>
  <si>
    <t>Tower E rm 346</t>
  </si>
  <si>
    <t>Tower D rm 347</t>
  </si>
  <si>
    <t>Tower D rm 348</t>
  </si>
  <si>
    <t>Tower D rm 349</t>
  </si>
  <si>
    <t>Tower B rm 350</t>
  </si>
  <si>
    <t>Tower D rm 351</t>
  </si>
  <si>
    <t>Tower D rm 352</t>
  </si>
  <si>
    <t>Tower D rm 353</t>
  </si>
  <si>
    <t xml:space="preserve">ICU RM </t>
  </si>
  <si>
    <t>Tower D rm 355</t>
  </si>
  <si>
    <t>Tower D rm 356</t>
  </si>
  <si>
    <t/>
  </si>
  <si>
    <t>BRAND:</t>
  </si>
  <si>
    <t>PMM DATE:</t>
  </si>
  <si>
    <t>DESCRIPTION</t>
  </si>
  <si>
    <t>MAINTENANCE HISTORY:</t>
  </si>
  <si>
    <t>PMM DATE</t>
  </si>
  <si>
    <t>MAINTENANCE HISTORY</t>
  </si>
  <si>
    <t>adsads</t>
  </si>
  <si>
    <t>asdafdsf</t>
  </si>
  <si>
    <t>REFERENCE NUMBER</t>
  </si>
  <si>
    <t>e1</t>
  </si>
  <si>
    <t>b1</t>
  </si>
  <si>
    <t>sdfsgsdfghdshfdgjhdfjsdf</t>
  </si>
  <si>
    <t>gdsfhdfgjhfdjfdghdfj</t>
  </si>
  <si>
    <t>DESCRIPTION/CHANGE LOG:</t>
  </si>
  <si>
    <t>UPDATE FORMULAS</t>
  </si>
  <si>
    <t>tyudrgb</t>
  </si>
  <si>
    <t>fdgyjtyfu</t>
  </si>
  <si>
    <t>Basic Search Formula</t>
  </si>
  <si>
    <t>NUMBER OF REPORTS</t>
  </si>
  <si>
    <t># OF REPORTS</t>
  </si>
  <si>
    <t>Search All Formula</t>
  </si>
  <si>
    <t>Search by Ref#</t>
  </si>
  <si>
    <t>Search by Serial#</t>
  </si>
  <si>
    <t>=FILTER(Equipment,ISNUMBER(SEARCH(C1,Equipment[REFERENCE NUMBER])),"NONE")</t>
  </si>
  <si>
    <t>=FILTER(Equipment,ISNUMBER(SEARCH(C1,Equipment[REFERENCE NUMBER]))+ISNUMBER(SEARCH(C1,Equipment[DATE LOGGED]))+ISNUMBER(SEARCH(C1,Equipment[SERIAL NUMBER]))+ISNUMBER(SEARCH(C1,Equipment[EQUIPMENT TYPE]))+ISNUMBER(SEARCH(C1,Equipment[BRAND]))+ISNUMBER(SEARCH(C1,Equipment[LOCATION]))+ISNUMBER(SEARCH(C1,Equipment[PMM DATE]))+ISNUMBER(SEARCH(C1,Equipment[PMM STATUS]))+ISNUMBER(SEARCH(C1,Equipment[DESCRIPTION]))+ISNUMBER(SEARCH(C1,Equipment[MAINTENANCE HISTORY])),"NONE")</t>
  </si>
  <si>
    <t>=FILTER(Equipment,ISNUMBER(SEARCH(C1,Equipment[SERIAL NUMBER])),"NONE")</t>
  </si>
  <si>
    <t xml:space="preserve">MODE: </t>
  </si>
  <si>
    <t>Search by Date Logged</t>
  </si>
  <si>
    <t>=FILTER(Equipment,ISNUMBER(SEARCH(C1,Equipment[DATE LOGGED])),"NONE")</t>
  </si>
  <si>
    <t># of REPORTS</t>
  </si>
  <si>
    <t>s7</t>
  </si>
  <si>
    <t>e7</t>
  </si>
  <si>
    <t>b7</t>
  </si>
  <si>
    <t>s8</t>
  </si>
  <si>
    <t>e8</t>
  </si>
  <si>
    <t>b8</t>
  </si>
  <si>
    <t>DESCRIPTION/HISTORY</t>
  </si>
  <si>
    <t>m8</t>
  </si>
  <si>
    <t>PMM Status Formula</t>
  </si>
  <si>
    <t>=IF(G10&lt;0,"DUE DATE",IF(G10=0,"LAST DAY",IF(G10&lt;30,"NEAR PPM",IF(G10="NO EXPIRY","NO EXPIRY","SAFE ACTIVE"))))</t>
  </si>
  <si>
    <t>SAFE ACTIVE</t>
  </si>
  <si>
    <t>s3</t>
  </si>
  <si>
    <t>Search by Date between</t>
  </si>
  <si>
    <t>=FILTER(Equipment,(Equipment[PMM DATE]&gt;=I4)*(Equipment[PMM DATE]&lt;=I5),"NONE")</t>
  </si>
  <si>
    <t xml:space="preserve">Report 1 : 24/11/2024  Valve not function ( Done checked by Biomed : Ariel  )  Report 2: Valve problem ( replaced by Biomed ) </t>
  </si>
  <si>
    <t xml:space="preserve">VENTILATOR </t>
  </si>
  <si>
    <t xml:space="preserve">SERVO U </t>
  </si>
  <si>
    <t>DUE</t>
  </si>
  <si>
    <t>NEAR PMM</t>
  </si>
  <si>
    <t>LAST DAY</t>
  </si>
  <si>
    <t>dsadsa</t>
  </si>
  <si>
    <t>e17</t>
  </si>
  <si>
    <t>b17</t>
  </si>
  <si>
    <t>d17</t>
  </si>
  <si>
    <t>NEAR PPM</t>
  </si>
  <si>
    <t>Equipment ADD</t>
  </si>
  <si>
    <t>Equipment UPDATE</t>
  </si>
  <si>
    <t>Equipment SEARCH</t>
  </si>
  <si>
    <t>Search ALL Tabs</t>
  </si>
  <si>
    <t>DUE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</si>
</sst>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\ h:mm\ AM/PM"/>
    <numFmt numFmtId="165" formatCode="[$-3409]dd\-mmm\-yy;@"/>
    <numFmt numFmtId="166" formatCode="mmm\-[$-3409]dd\-yy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b/>
      <sz val="24"/>
      <color theme="0"/>
      <name val="Aptos"/>
      <family val="2"/>
    </font>
    <font>
      <b/>
      <sz val="18"/>
      <color theme="1"/>
      <name val="Aptos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Aptos"/>
      <family val="2"/>
    </font>
    <font>
      <sz val="11"/>
      <name val="Aptos"/>
      <family val="2"/>
    </font>
    <font>
      <sz val="10"/>
      <color theme="1"/>
      <name val="Aptos"/>
      <family val="2"/>
    </font>
    <font>
      <sz val="11"/>
      <color theme="0"/>
      <name val="Calibri"/>
      <family val="2"/>
      <scheme val="minor"/>
    </font>
    <font>
      <sz val="11"/>
      <color theme="0"/>
      <name val="Aptos"/>
      <family val="2"/>
    </font>
    <font>
      <sz val="11"/>
      <color theme="2" tint="-9.9978637043366805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Aptos"/>
      <family val="2"/>
    </font>
    <font>
      <b/>
      <sz val="12"/>
      <color theme="1"/>
      <name val="Aptos"/>
      <family val="2"/>
    </font>
    <font>
      <b/>
      <sz val="22"/>
      <name val="Aptos"/>
      <family val="2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0" borderId="6" xfId="0" applyBorder="1"/>
    <xf numFmtId="0" fontId="0" fillId="0" borderId="9" xfId="0" applyBorder="1"/>
    <xf numFmtId="164" fontId="0" fillId="0" borderId="0" xfId="0" applyNumberFormat="1"/>
    <xf numFmtId="0" fontId="1" fillId="0" borderId="5" xfId="0" applyFont="1" applyBorder="1"/>
    <xf numFmtId="0" fontId="1" fillId="0" borderId="0" xfId="0" applyFont="1"/>
    <xf numFmtId="0" fontId="1" fillId="0" borderId="5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5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7" xfId="0" applyFont="1" applyBorder="1"/>
    <xf numFmtId="0" fontId="1" fillId="0" borderId="8" xfId="0" applyFont="1" applyBorder="1"/>
    <xf numFmtId="0" fontId="1" fillId="0" borderId="10" xfId="0" applyFont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1" fontId="1" fillId="2" borderId="1" xfId="0" applyNumberFormat="1" applyFont="1" applyFill="1" applyBorder="1" applyAlignment="1" applyProtection="1">
      <alignment wrapText="1"/>
      <protection locked="0"/>
    </xf>
    <xf numFmtId="0" fontId="1" fillId="2" borderId="1" xfId="0" applyFont="1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164" fontId="4" fillId="0" borderId="0" xfId="0" applyNumberFormat="1" applyFont="1" applyProtection="1">
      <protection locked="0"/>
    </xf>
    <xf numFmtId="0" fontId="4" fillId="0" borderId="0" xfId="0" applyFont="1"/>
    <xf numFmtId="164" fontId="4" fillId="0" borderId="0" xfId="0" applyNumberFormat="1" applyFont="1"/>
    <xf numFmtId="0" fontId="0" fillId="0" borderId="5" xfId="0" applyBorder="1"/>
    <xf numFmtId="0" fontId="5" fillId="3" borderId="11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5" fillId="3" borderId="13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6" fillId="0" borderId="0" xfId="0" applyFont="1"/>
    <xf numFmtId="1" fontId="1" fillId="6" borderId="1" xfId="0" applyNumberFormat="1" applyFont="1" applyFill="1" applyBorder="1" applyAlignment="1" applyProtection="1">
      <alignment wrapText="1"/>
      <protection locked="0"/>
    </xf>
    <xf numFmtId="0" fontId="1" fillId="5" borderId="3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vertical="center" wrapText="1"/>
    </xf>
    <xf numFmtId="0" fontId="1" fillId="5" borderId="0" xfId="0" applyFont="1" applyFill="1" applyAlignment="1">
      <alignment vertical="center" wrapText="1"/>
    </xf>
    <xf numFmtId="0" fontId="1" fillId="5" borderId="6" xfId="0" applyFont="1" applyFill="1" applyBorder="1" applyAlignment="1">
      <alignment vertical="center" wrapText="1"/>
    </xf>
    <xf numFmtId="0" fontId="1" fillId="5" borderId="5" xfId="0" applyFont="1" applyFill="1" applyBorder="1"/>
    <xf numFmtId="0" fontId="1" fillId="5" borderId="3" xfId="0" applyFont="1" applyFill="1" applyBorder="1" applyAlignment="1">
      <alignment vertical="center"/>
    </xf>
    <xf numFmtId="0" fontId="0" fillId="5" borderId="5" xfId="0" applyFill="1" applyBorder="1"/>
    <xf numFmtId="0" fontId="1" fillId="5" borderId="0" xfId="0" applyFont="1" applyFill="1" applyAlignment="1">
      <alignment vertical="center"/>
    </xf>
    <xf numFmtId="0" fontId="1" fillId="5" borderId="0" xfId="0" applyFont="1" applyFill="1"/>
    <xf numFmtId="0" fontId="0" fillId="5" borderId="0" xfId="0" applyFill="1"/>
    <xf numFmtId="0" fontId="0" fillId="5" borderId="6" xfId="0" applyFill="1" applyBorder="1"/>
    <xf numFmtId="0" fontId="1" fillId="5" borderId="5" xfId="0" applyFont="1" applyFill="1" applyBorder="1" applyAlignment="1">
      <alignment horizontal="right" vertical="center"/>
    </xf>
    <xf numFmtId="0" fontId="1" fillId="5" borderId="0" xfId="0" applyFont="1" applyFill="1" applyAlignment="1">
      <alignment horizontal="right" vertical="center"/>
    </xf>
    <xf numFmtId="0" fontId="1" fillId="5" borderId="5" xfId="0" applyFont="1" applyFill="1" applyBorder="1" applyAlignment="1">
      <alignment vertical="center"/>
    </xf>
    <xf numFmtId="0" fontId="1" fillId="5" borderId="6" xfId="0" applyFont="1" applyFill="1" applyBorder="1" applyAlignment="1">
      <alignment horizontal="right" vertical="center"/>
    </xf>
    <xf numFmtId="0" fontId="1" fillId="5" borderId="6" xfId="0" applyFont="1" applyFill="1" applyBorder="1"/>
    <xf numFmtId="0" fontId="1" fillId="5" borderId="10" xfId="0" applyFont="1" applyFill="1" applyBorder="1" applyAlignment="1">
      <alignment horizontal="right" vertical="center"/>
    </xf>
    <xf numFmtId="0" fontId="4" fillId="5" borderId="5" xfId="0" applyFont="1" applyFill="1" applyBorder="1"/>
    <xf numFmtId="0" fontId="4" fillId="5" borderId="0" xfId="0" applyFont="1" applyFill="1"/>
    <xf numFmtId="0" fontId="4" fillId="5" borderId="6" xfId="0" applyFont="1" applyFill="1" applyBorder="1"/>
    <xf numFmtId="0" fontId="4" fillId="5" borderId="7" xfId="0" applyFont="1" applyFill="1" applyBorder="1"/>
    <xf numFmtId="0" fontId="4" fillId="5" borderId="8" xfId="0" applyFont="1" applyFill="1" applyBorder="1"/>
    <xf numFmtId="0" fontId="4" fillId="5" borderId="9" xfId="0" applyFont="1" applyFill="1" applyBorder="1"/>
    <xf numFmtId="1" fontId="4" fillId="0" borderId="0" xfId="0" applyNumberFormat="1" applyFont="1" applyProtection="1">
      <protection locked="0"/>
    </xf>
    <xf numFmtId="164" fontId="4" fillId="0" borderId="0" xfId="0" applyNumberFormat="1" applyFont="1" applyAlignment="1" applyProtection="1">
      <alignment vertical="center" readingOrder="1"/>
      <protection locked="0"/>
    </xf>
    <xf numFmtId="165" fontId="4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0" fontId="0" fillId="2" borderId="1" xfId="0" applyFill="1" applyBorder="1" applyAlignment="1">
      <alignment horizontal="center" vertical="center" wrapText="1"/>
    </xf>
    <xf numFmtId="0" fontId="4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164" fontId="8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/>
    <xf numFmtId="0" fontId="7" fillId="7" borderId="0" xfId="0" applyFont="1" applyFill="1" applyAlignment="1">
      <alignment horizontal="center" vertical="center" wrapText="1"/>
    </xf>
    <xf numFmtId="166" fontId="7" fillId="7" borderId="0" xfId="0" applyNumberFormat="1" applyFont="1" applyFill="1" applyAlignment="1">
      <alignment horizontal="center" vertical="center" wrapText="1"/>
    </xf>
    <xf numFmtId="164" fontId="3" fillId="0" borderId="0" xfId="0" applyNumberFormat="1" applyFont="1" applyAlignment="1">
      <alignment horizontal="centerContinuous" vertical="center"/>
    </xf>
    <xf numFmtId="0" fontId="1" fillId="0" borderId="0" xfId="0" applyFont="1" applyAlignment="1">
      <alignment horizontal="center" vertical="center" wrapText="1"/>
    </xf>
    <xf numFmtId="0" fontId="1" fillId="5" borderId="10" xfId="0" applyFont="1" applyFill="1" applyBorder="1" applyAlignment="1">
      <alignment horizontal="right" vertical="center" wrapText="1"/>
    </xf>
    <xf numFmtId="0" fontId="8" fillId="0" borderId="0" xfId="0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5" borderId="2" xfId="0" applyFont="1" applyFill="1" applyBorder="1" applyAlignment="1">
      <alignment vertical="center" wrapText="1"/>
    </xf>
    <xf numFmtId="0" fontId="1" fillId="5" borderId="16" xfId="0" applyFont="1" applyFill="1" applyBorder="1" applyAlignment="1">
      <alignment vertical="center" wrapText="1"/>
    </xf>
    <xf numFmtId="0" fontId="1" fillId="5" borderId="16" xfId="0" applyFont="1" applyFill="1" applyBorder="1"/>
    <xf numFmtId="164" fontId="3" fillId="8" borderId="0" xfId="0" applyNumberFormat="1" applyFont="1" applyFill="1" applyAlignment="1">
      <alignment vertical="center"/>
    </xf>
    <xf numFmtId="0" fontId="0" fillId="8" borderId="0" xfId="0" applyFill="1"/>
    <xf numFmtId="0" fontId="4" fillId="8" borderId="0" xfId="0" applyFont="1" applyFill="1"/>
    <xf numFmtId="0" fontId="4" fillId="8" borderId="0" xfId="0" applyFont="1" applyFill="1" applyProtection="1">
      <protection locked="0"/>
    </xf>
    <xf numFmtId="164" fontId="3" fillId="8" borderId="0" xfId="0" applyNumberFormat="1" applyFont="1" applyFill="1" applyAlignment="1">
      <alignment horizontal="centerContinuous" vertical="center"/>
    </xf>
    <xf numFmtId="0" fontId="0" fillId="8" borderId="6" xfId="0" applyFill="1" applyBorder="1"/>
    <xf numFmtId="0" fontId="0" fillId="8" borderId="0" xfId="0" applyFill="1" applyProtection="1"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0" fillId="0" borderId="0" xfId="0" quotePrefix="1"/>
    <xf numFmtId="164" fontId="3" fillId="0" borderId="5" xfId="0" applyNumberFormat="1" applyFont="1" applyBorder="1" applyAlignment="1">
      <alignment vertical="center"/>
    </xf>
    <xf numFmtId="164" fontId="3" fillId="0" borderId="6" xfId="0" applyNumberFormat="1" applyFont="1" applyBorder="1" applyAlignment="1">
      <alignment vertical="center"/>
    </xf>
    <xf numFmtId="0" fontId="0" fillId="0" borderId="8" xfId="0" applyBorder="1"/>
    <xf numFmtId="164" fontId="3" fillId="0" borderId="0" xfId="0" applyNumberFormat="1" applyFont="1" applyAlignment="1">
      <alignment vertical="center"/>
    </xf>
    <xf numFmtId="0" fontId="11" fillId="0" borderId="0" xfId="0" applyFont="1"/>
    <xf numFmtId="0" fontId="0" fillId="0" borderId="0" xfId="0" quotePrefix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10" fillId="0" borderId="0" xfId="0" applyFont="1"/>
    <xf numFmtId="165" fontId="4" fillId="0" borderId="0" xfId="0" applyNumberFormat="1" applyFont="1" applyAlignment="1">
      <alignment horizontal="center" vertical="center"/>
    </xf>
    <xf numFmtId="165" fontId="8" fillId="0" borderId="0" xfId="0" applyNumberFormat="1" applyFont="1" applyAlignment="1" applyProtection="1">
      <alignment horizontal="center" vertical="center"/>
      <protection locked="0"/>
    </xf>
    <xf numFmtId="165" fontId="8" fillId="0" borderId="0" xfId="0" applyNumberFormat="1" applyFont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165" fontId="4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1" fontId="1" fillId="6" borderId="1" xfId="0" applyNumberFormat="1" applyFont="1" applyFill="1" applyBorder="1" applyAlignment="1" applyProtection="1">
      <alignment horizontal="center" wrapText="1"/>
      <protection locked="0"/>
    </xf>
    <xf numFmtId="0" fontId="10" fillId="5" borderId="6" xfId="0" applyFont="1" applyFill="1" applyBorder="1" applyProtection="1">
      <protection hidden="1"/>
    </xf>
    <xf numFmtId="165" fontId="12" fillId="8" borderId="0" xfId="0" applyNumberFormat="1" applyFont="1" applyFill="1" applyProtection="1">
      <protection hidden="1"/>
    </xf>
    <xf numFmtId="1" fontId="7" fillId="7" borderId="0" xfId="0" applyNumberFormat="1" applyFont="1" applyFill="1" applyAlignment="1">
      <alignment horizontal="center" vertical="center" wrapText="1"/>
    </xf>
    <xf numFmtId="1" fontId="8" fillId="0" borderId="0" xfId="0" applyNumberFormat="1" applyFont="1" applyAlignment="1" applyProtection="1">
      <alignment horizontal="center" vertical="center"/>
      <protection locked="0"/>
    </xf>
    <xf numFmtId="1" fontId="4" fillId="5" borderId="0" xfId="0" applyNumberFormat="1" applyFont="1" applyFill="1" applyAlignment="1" applyProtection="1">
      <alignment horizontal="center" vertical="center"/>
      <protection locked="0"/>
    </xf>
    <xf numFmtId="1" fontId="8" fillId="0" borderId="0" xfId="0" applyNumberFormat="1" applyFont="1" applyAlignment="1">
      <alignment horizontal="center" vertical="center"/>
    </xf>
    <xf numFmtId="1" fontId="4" fillId="0" borderId="0" xfId="0" applyNumberFormat="1" applyFont="1" applyAlignment="1" applyProtection="1">
      <alignment horizontal="center"/>
      <protection locked="0"/>
    </xf>
    <xf numFmtId="166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 readingOrder="1"/>
      <protection locked="0"/>
    </xf>
    <xf numFmtId="1" fontId="1" fillId="6" borderId="1" xfId="0" applyNumberFormat="1" applyFont="1" applyFill="1" applyBorder="1" applyAlignment="1" applyProtection="1">
      <alignment horizontal="center" vertical="center" wrapText="1"/>
      <protection locked="0"/>
    </xf>
    <xf numFmtId="165" fontId="1" fillId="6" borderId="1" xfId="0" applyNumberFormat="1" applyFont="1" applyFill="1" applyBorder="1" applyAlignment="1" applyProtection="1">
      <alignment horizontal="center" vertical="center" wrapText="1"/>
      <protection locked="0"/>
    </xf>
    <xf numFmtId="1" fontId="1" fillId="6" borderId="14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left" vertical="center" wrapText="1"/>
      <protection locked="0"/>
    </xf>
    <xf numFmtId="0" fontId="4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Alignment="1">
      <alignment horizontal="left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164" fontId="4" fillId="0" borderId="0" xfId="0" applyNumberFormat="1" applyFont="1" applyAlignment="1" applyProtection="1">
      <alignment horizontal="left" vertical="center" wrapText="1"/>
      <protection locked="0"/>
    </xf>
    <xf numFmtId="0" fontId="14" fillId="0" borderId="0" xfId="0" applyFont="1" applyAlignment="1">
      <alignment horizontal="right" vertical="center"/>
    </xf>
    <xf numFmtId="0" fontId="14" fillId="0" borderId="0" xfId="0" applyFont="1" applyAlignment="1">
      <alignment vertical="center"/>
    </xf>
    <xf numFmtId="164" fontId="15" fillId="0" borderId="0" xfId="0" applyNumberFormat="1" applyFont="1" applyAlignment="1">
      <alignment horizontal="right" vertical="center"/>
    </xf>
    <xf numFmtId="165" fontId="1" fillId="0" borderId="6" xfId="0" applyNumberFormat="1" applyFont="1" applyBorder="1" applyAlignment="1">
      <alignment vertical="center"/>
    </xf>
    <xf numFmtId="1" fontId="9" fillId="6" borderId="2" xfId="0" applyNumberFormat="1" applyFont="1" applyFill="1" applyBorder="1" applyAlignment="1" applyProtection="1">
      <alignment horizontal="centerContinuous" vertical="distributed" wrapText="1" readingOrder="2"/>
      <protection locked="0"/>
    </xf>
    <xf numFmtId="1" fontId="9" fillId="6" borderId="3" xfId="0" applyNumberFormat="1" applyFont="1" applyFill="1" applyBorder="1" applyAlignment="1" applyProtection="1">
      <alignment horizontal="centerContinuous" vertical="distributed" wrapText="1" readingOrder="2"/>
      <protection locked="0"/>
    </xf>
    <xf numFmtId="1" fontId="9" fillId="6" borderId="4" xfId="0" applyNumberFormat="1" applyFont="1" applyFill="1" applyBorder="1" applyAlignment="1" applyProtection="1">
      <alignment horizontal="centerContinuous" vertical="distributed" wrapText="1" readingOrder="2"/>
      <protection locked="0"/>
    </xf>
    <xf numFmtId="1" fontId="9" fillId="6" borderId="5" xfId="0" applyNumberFormat="1" applyFont="1" applyFill="1" applyBorder="1" applyAlignment="1" applyProtection="1">
      <alignment horizontal="centerContinuous" vertical="distributed" wrapText="1" readingOrder="1"/>
      <protection locked="0"/>
    </xf>
    <xf numFmtId="1" fontId="9" fillId="6" borderId="0" xfId="0" applyNumberFormat="1" applyFont="1" applyFill="1" applyAlignment="1" applyProtection="1">
      <alignment horizontal="centerContinuous" vertical="distributed" wrapText="1" readingOrder="1"/>
      <protection locked="0"/>
    </xf>
    <xf numFmtId="1" fontId="9" fillId="6" borderId="6" xfId="0" applyNumberFormat="1" applyFont="1" applyFill="1" applyBorder="1" applyAlignment="1" applyProtection="1">
      <alignment horizontal="centerContinuous" vertical="distributed" wrapText="1" readingOrder="1"/>
      <protection locked="0"/>
    </xf>
    <xf numFmtId="1" fontId="9" fillId="6" borderId="7" xfId="0" applyNumberFormat="1" applyFont="1" applyFill="1" applyBorder="1" applyAlignment="1" applyProtection="1">
      <alignment horizontal="centerContinuous" vertical="distributed" wrapText="1" readingOrder="1"/>
      <protection locked="0"/>
    </xf>
    <xf numFmtId="1" fontId="9" fillId="6" borderId="8" xfId="0" applyNumberFormat="1" applyFont="1" applyFill="1" applyBorder="1" applyAlignment="1" applyProtection="1">
      <alignment horizontal="centerContinuous" vertical="distributed" wrapText="1" readingOrder="1"/>
      <protection locked="0"/>
    </xf>
    <xf numFmtId="1" fontId="9" fillId="6" borderId="9" xfId="0" applyNumberFormat="1" applyFont="1" applyFill="1" applyBorder="1" applyAlignment="1" applyProtection="1">
      <alignment horizontal="centerContinuous" vertical="distributed" wrapText="1" readingOrder="1"/>
      <protection locked="0"/>
    </xf>
    <xf numFmtId="1" fontId="9" fillId="6" borderId="2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3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4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5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0" xfId="0" applyNumberFormat="1" applyFont="1" applyFill="1" applyAlignment="1" applyProtection="1">
      <alignment horizontal="centerContinuous" vertical="distributed" wrapText="1"/>
      <protection locked="0"/>
    </xf>
    <xf numFmtId="1" fontId="9" fillId="6" borderId="6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7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8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9" xfId="0" applyNumberFormat="1" applyFont="1" applyFill="1" applyBorder="1" applyAlignment="1" applyProtection="1">
      <alignment horizontal="centerContinuous" vertical="distributed" wrapText="1"/>
      <protection locked="0"/>
    </xf>
    <xf numFmtId="0" fontId="16" fillId="0" borderId="0" xfId="0" applyFont="1"/>
    <xf numFmtId="0" fontId="7" fillId="9" borderId="0" xfId="0" applyFont="1" applyFill="1" applyAlignment="1">
      <alignment horizontal="center" vertical="center" wrapText="1"/>
    </xf>
    <xf numFmtId="1" fontId="0" fillId="0" borderId="0" xfId="0" applyNumberFormat="1"/>
    <xf numFmtId="0" fontId="1" fillId="5" borderId="10" xfId="0" applyFont="1" applyFill="1" applyBorder="1" applyAlignment="1">
      <alignment horizontal="right" vertical="center"/>
    </xf>
    <xf numFmtId="0" fontId="1" fillId="5" borderId="3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5" borderId="3" xfId="0" applyFont="1" applyFill="1" applyBorder="1" applyAlignment="1" applyProtection="1">
      <alignment horizontal="right" vertical="center" wrapText="1"/>
      <protection hidden="1"/>
    </xf>
    <xf numFmtId="0" fontId="1" fillId="5" borderId="0" xfId="0" applyFont="1" applyFill="1" applyAlignment="1" applyProtection="1">
      <alignment horizontal="right" vertical="center" wrapText="1"/>
      <protection hidden="1"/>
    </xf>
    <xf numFmtId="0" fontId="2" fillId="4" borderId="1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right" vertical="center" wrapText="1"/>
    </xf>
    <xf numFmtId="1" fontId="9" fillId="6" borderId="2" xfId="0" applyNumberFormat="1" applyFont="1" applyFill="1" applyBorder="1" applyAlignment="1" applyProtection="1">
      <alignment horizontal="left" vertical="center" wrapText="1"/>
      <protection locked="0"/>
    </xf>
    <xf numFmtId="1" fontId="9" fillId="6" borderId="3" xfId="0" applyNumberFormat="1" applyFont="1" applyFill="1" applyBorder="1" applyAlignment="1" applyProtection="1">
      <alignment horizontal="left" vertical="center" wrapText="1"/>
      <protection locked="0"/>
    </xf>
    <xf numFmtId="1" fontId="9" fillId="6" borderId="4" xfId="0" applyNumberFormat="1" applyFont="1" applyFill="1" applyBorder="1" applyAlignment="1" applyProtection="1">
      <alignment horizontal="left" vertical="center" wrapText="1"/>
      <protection locked="0"/>
    </xf>
    <xf numFmtId="1" fontId="9" fillId="6" borderId="5" xfId="0" applyNumberFormat="1" applyFont="1" applyFill="1" applyBorder="1" applyAlignment="1" applyProtection="1">
      <alignment horizontal="left" vertical="center" wrapText="1"/>
      <protection locked="0"/>
    </xf>
    <xf numFmtId="1" fontId="9" fillId="6" borderId="0" xfId="0" applyNumberFormat="1" applyFont="1" applyFill="1" applyAlignment="1" applyProtection="1">
      <alignment horizontal="left" vertical="center" wrapText="1"/>
      <protection locked="0"/>
    </xf>
    <xf numFmtId="1" fontId="9" fillId="6" borderId="6" xfId="0" applyNumberFormat="1" applyFont="1" applyFill="1" applyBorder="1" applyAlignment="1" applyProtection="1">
      <alignment horizontal="left" vertical="center" wrapText="1"/>
      <protection locked="0"/>
    </xf>
    <xf numFmtId="1" fontId="9" fillId="6" borderId="7" xfId="0" applyNumberFormat="1" applyFont="1" applyFill="1" applyBorder="1" applyAlignment="1" applyProtection="1">
      <alignment horizontal="left" vertical="center" wrapText="1"/>
      <protection locked="0"/>
    </xf>
    <xf numFmtId="1" fontId="9" fillId="6" borderId="8" xfId="0" applyNumberFormat="1" applyFont="1" applyFill="1" applyBorder="1" applyAlignment="1" applyProtection="1">
      <alignment horizontal="left" vertical="center" wrapText="1"/>
      <protection locked="0"/>
    </xf>
    <xf numFmtId="1" fontId="9" fillId="6" borderId="9" xfId="0" applyNumberFormat="1" applyFont="1" applyFill="1" applyBorder="1" applyAlignment="1" applyProtection="1">
      <alignment horizontal="left" vertical="center" wrapText="1"/>
      <protection locked="0"/>
    </xf>
    <xf numFmtId="0" fontId="1" fillId="5" borderId="4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/>
    </xf>
    <xf numFmtId="0" fontId="2" fillId="4" borderId="5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Normal" xfId="0" builtinId="0"/>
  </cellStyles>
  <dxfs count="2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[$-3409]dd\-mmm\-yy;@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dd\-mmm\-yy\ h:mm\ AM/PM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color theme="0"/>
        <name val="Aptos"/>
        <family val="2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510540</xdr:colOff>
          <xdr:row>21</xdr:row>
          <xdr:rowOff>129540</xdr:rowOff>
        </xdr:from>
        <xdr:to>
          <xdr:col>4</xdr:col>
          <xdr:colOff>594360</xdr:colOff>
          <xdr:row>23</xdr:row>
          <xdr:rowOff>60960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929640</xdr:colOff>
          <xdr:row>21</xdr:row>
          <xdr:rowOff>129540</xdr:rowOff>
        </xdr:from>
        <xdr:to>
          <xdr:col>13</xdr:col>
          <xdr:colOff>53340</xdr:colOff>
          <xdr:row>23</xdr:row>
          <xdr:rowOff>60960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541020</xdr:colOff>
          <xdr:row>21</xdr:row>
          <xdr:rowOff>137160</xdr:rowOff>
        </xdr:from>
        <xdr:to>
          <xdr:col>9</xdr:col>
          <xdr:colOff>449580</xdr:colOff>
          <xdr:row>23</xdr:row>
          <xdr:rowOff>68580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822960</xdr:colOff>
          <xdr:row>21</xdr:row>
          <xdr:rowOff>129540</xdr:rowOff>
        </xdr:from>
        <xdr:to>
          <xdr:col>11</xdr:col>
          <xdr:colOff>525780</xdr:colOff>
          <xdr:row>23</xdr:row>
          <xdr:rowOff>60960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640080</xdr:colOff>
          <xdr:row>3</xdr:row>
          <xdr:rowOff>68580</xdr:rowOff>
        </xdr:from>
        <xdr:to>
          <xdr:col>12</xdr:col>
          <xdr:colOff>967740</xdr:colOff>
          <xdr:row>5</xdr:row>
          <xdr:rowOff>30480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0</xdr:row>
          <xdr:rowOff>121920</xdr:rowOff>
        </xdr:from>
        <xdr:to>
          <xdr:col>14</xdr:col>
          <xdr:colOff>15240</xdr:colOff>
          <xdr:row>0</xdr:row>
          <xdr:rowOff>541020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1348740</xdr:colOff>
          <xdr:row>6</xdr:row>
          <xdr:rowOff>106680</xdr:rowOff>
        </xdr:from>
        <xdr:to>
          <xdr:col>3</xdr:col>
          <xdr:colOff>632460</xdr:colOff>
          <xdr:row>7</xdr:row>
          <xdr:rowOff>144780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7620</xdr:colOff>
      <xdr:row>2</xdr:row>
      <xdr:rowOff>114300</xdr:rowOff>
    </xdr:from>
    <xdr:to>
      <xdr:col>5</xdr:col>
      <xdr:colOff>647699</xdr:colOff>
      <xdr:row>4</xdr:row>
      <xdr:rowOff>91440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00182B2-D578-78E0-3BF1-60DF00BE624E}"/>
            </a:ext>
          </a:extLst>
        </xdr:cNvPr>
        <xdr:cNvGrpSpPr/>
      </xdr:nvGrpSpPr>
      <xdr:grpSpPr>
        <a:xfrm>
          <a:off x="4061460" y="861060"/>
          <a:ext cx="2758439" cy="342900"/>
          <a:chOff x="4297680" y="868680"/>
          <a:chExt cx="2758440" cy="342900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122" name="TextBox1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000-000002140000}"/>
                  </a:ext>
                </a:extLst>
              </xdr:cNvPr>
              <xdr:cNvSpPr/>
            </xdr:nvSpPr>
            <xdr:spPr bwMode="auto">
              <a:xfrm>
                <a:off x="4671061" y="929640"/>
                <a:ext cx="1737360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 xmlns=""/>
      </mc:AlternateContent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A3802E43-D715-6CC2-416E-CABD0E9A54A2}"/>
              </a:ext>
            </a:extLst>
          </xdr:cNvPr>
          <xdr:cNvGrpSpPr/>
        </xdr:nvGrpSpPr>
        <xdr:grpSpPr>
          <a:xfrm>
            <a:off x="4297680" y="868680"/>
            <a:ext cx="2758440" cy="342900"/>
            <a:chOff x="1699260" y="1150620"/>
            <a:chExt cx="2758440" cy="342900"/>
          </a:xfrm>
        </xdr:grpSpPr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3A2205A6-9D71-856A-3D53-4FF7B3D2892C}"/>
                </a:ext>
              </a:extLst>
            </xdr:cNvPr>
            <xdr:cNvGrpSpPr/>
          </xdr:nvGrpSpPr>
          <xdr:grpSpPr>
            <a:xfrm>
              <a:off x="1699260" y="1150620"/>
              <a:ext cx="2758440" cy="342900"/>
              <a:chOff x="3718560" y="1356360"/>
              <a:chExt cx="2758440" cy="342900"/>
            </a:xfrm>
          </xdr:grpSpPr>
          <xdr:sp macro="" textlink="">
            <xdr:nvSpPr>
              <xdr:cNvPr id="2" name="Rectangle: Rounded Corners 1">
                <a:extLst>
                  <a:ext uri="{FF2B5EF4-FFF2-40B4-BE49-F238E27FC236}">
                    <a16:creationId xmlns:a16="http://schemas.microsoft.com/office/drawing/2014/main" id="{DF987CC4-D153-3D7E-777B-0097963613D7}"/>
                  </a:ext>
                </a:extLst>
              </xdr:cNvPr>
              <xdr:cNvSpPr/>
            </xdr:nvSpPr>
            <xdr:spPr>
              <a:xfrm>
                <a:off x="3726180" y="1356360"/>
                <a:ext cx="2750820" cy="342900"/>
              </a:xfrm>
              <a:prstGeom prst="roundRect">
                <a:avLst/>
              </a:prstGeom>
              <a:noFill/>
              <a:ln>
                <a:solidFill>
                  <a:srgbClr val="002060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  <xdr:sp macro="" textlink="">
            <xdr:nvSpPr>
              <xdr:cNvPr id="3" name="Rectangle: Top Corners Rounded 2">
                <a:extLst>
                  <a:ext uri="{FF2B5EF4-FFF2-40B4-BE49-F238E27FC236}">
                    <a16:creationId xmlns:a16="http://schemas.microsoft.com/office/drawing/2014/main" id="{32754A55-F885-C345-6563-89EED43C88FE}"/>
                  </a:ext>
                </a:extLst>
              </xdr:cNvPr>
              <xdr:cNvSpPr/>
            </xdr:nvSpPr>
            <xdr:spPr>
              <a:xfrm rot="16200000">
                <a:off x="3729990" y="1352550"/>
                <a:ext cx="335280" cy="358140"/>
              </a:xfrm>
              <a:prstGeom prst="round2SameRect">
                <a:avLst/>
              </a:prstGeom>
              <a:solidFill>
                <a:srgbClr val="00206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</xdr:grpSp>
        <xdr:pic>
          <xdr:nvPicPr>
            <xdr:cNvPr id="6" name="Graphic 5" descr="Magnifying glass with solid fill">
              <a:extLst>
                <a:ext uri="{FF2B5EF4-FFF2-40B4-BE49-F238E27FC236}">
                  <a16:creationId xmlns:a16="http://schemas.microsoft.com/office/drawing/2014/main" id="{F0768482-853F-477D-580E-FCEB5130E2A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 rot="10800000" flipH="1" flipV="1">
              <a:off x="1783080" y="1181100"/>
              <a:ext cx="243840" cy="243840"/>
            </a:xfrm>
            <a:prstGeom prst="rect">
              <a:avLst/>
            </a:prstGeom>
          </xdr:spPr>
        </xdr:pic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9</xdr:row>
          <xdr:rowOff>0</xdr:rowOff>
        </xdr:from>
        <xdr:to>
          <xdr:col>1</xdr:col>
          <xdr:colOff>1036320</xdr:colOff>
          <xdr:row>11</xdr:row>
          <xdr:rowOff>30480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Reference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1203960</xdr:colOff>
          <xdr:row>9</xdr:row>
          <xdr:rowOff>0</xdr:rowOff>
        </xdr:from>
        <xdr:to>
          <xdr:col>2</xdr:col>
          <xdr:colOff>701040</xdr:colOff>
          <xdr:row>11</xdr:row>
          <xdr:rowOff>30480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Date Logged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6</xdr:row>
          <xdr:rowOff>106680</xdr:rowOff>
        </xdr:from>
        <xdr:to>
          <xdr:col>1</xdr:col>
          <xdr:colOff>1203960</xdr:colOff>
          <xdr:row>7</xdr:row>
          <xdr:rowOff>144780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Serial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891540</xdr:colOff>
          <xdr:row>9</xdr:row>
          <xdr:rowOff>0</xdr:rowOff>
        </xdr:from>
        <xdr:to>
          <xdr:col>8</xdr:col>
          <xdr:colOff>731520</xdr:colOff>
          <xdr:row>11</xdr:row>
          <xdr:rowOff>30480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Equipment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121920</xdr:colOff>
          <xdr:row>6</xdr:row>
          <xdr:rowOff>99060</xdr:rowOff>
        </xdr:from>
        <xdr:to>
          <xdr:col>5</xdr:col>
          <xdr:colOff>1165860</xdr:colOff>
          <xdr:row>7</xdr:row>
          <xdr:rowOff>137160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9</xdr:row>
          <xdr:rowOff>0</xdr:rowOff>
        </xdr:from>
        <xdr:to>
          <xdr:col>3</xdr:col>
          <xdr:colOff>632460</xdr:colOff>
          <xdr:row>11</xdr:row>
          <xdr:rowOff>30480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754380</xdr:colOff>
          <xdr:row>9</xdr:row>
          <xdr:rowOff>0</xdr:rowOff>
        </xdr:from>
        <xdr:to>
          <xdr:col>4</xdr:col>
          <xdr:colOff>906780</xdr:colOff>
          <xdr:row>11</xdr:row>
          <xdr:rowOff>30480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PMM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1051560</xdr:colOff>
          <xdr:row>9</xdr:row>
          <xdr:rowOff>0</xdr:rowOff>
        </xdr:from>
        <xdr:to>
          <xdr:col>5</xdr:col>
          <xdr:colOff>1082040</xdr:colOff>
          <xdr:row>11</xdr:row>
          <xdr:rowOff>30480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PMM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670560</xdr:colOff>
          <xdr:row>11</xdr:row>
          <xdr:rowOff>30480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Description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754380</xdr:colOff>
          <xdr:row>6</xdr:row>
          <xdr:rowOff>106680</xdr:rowOff>
        </xdr:from>
        <xdr:to>
          <xdr:col>5</xdr:col>
          <xdr:colOff>0</xdr:colOff>
          <xdr:row>7</xdr:row>
          <xdr:rowOff>144780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PMM Date (Month)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396240</xdr:colOff>
          <xdr:row>2</xdr:row>
          <xdr:rowOff>152400</xdr:rowOff>
        </xdr:from>
        <xdr:to>
          <xdr:col>5</xdr:col>
          <xdr:colOff>579120</xdr:colOff>
          <xdr:row>4</xdr:row>
          <xdr:rowOff>45720</xdr:rowOff>
        </xdr:to>
        <xdr:sp macro="" textlink="">
          <xdr:nvSpPr>
            <xdr:cNvPr id="5146" name="TextBox1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2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6</xdr:row>
          <xdr:rowOff>91440</xdr:rowOff>
        </xdr:from>
        <xdr:to>
          <xdr:col>8</xdr:col>
          <xdr:colOff>731520</xdr:colOff>
          <xdr:row>7</xdr:row>
          <xdr:rowOff>129540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2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PMM Status (Date Range)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259080</xdr:colOff>
          <xdr:row>1</xdr:row>
          <xdr:rowOff>251460</xdr:rowOff>
        </xdr:from>
        <xdr:to>
          <xdr:col>10</xdr:col>
          <xdr:colOff>1120140</xdr:colOff>
          <xdr:row>5</xdr:row>
          <xdr:rowOff>60960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2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CURRENT EQUIPMENT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6</xdr:row>
          <xdr:rowOff>15240</xdr:rowOff>
        </xdr:from>
        <xdr:to>
          <xdr:col>10</xdr:col>
          <xdr:colOff>1127760</xdr:colOff>
          <xdr:row>11</xdr:row>
          <xdr:rowOff>15240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2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CURRENT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739140</xdr:colOff>
          <xdr:row>12</xdr:row>
          <xdr:rowOff>167640</xdr:rowOff>
        </xdr:from>
        <xdr:to>
          <xdr:col>2</xdr:col>
          <xdr:colOff>1127760</xdr:colOff>
          <xdr:row>14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</a:t>
              </a:r>
            </a:p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12</xdr:row>
          <xdr:rowOff>167640</xdr:rowOff>
        </xdr:from>
        <xdr:to>
          <xdr:col>5</xdr:col>
          <xdr:colOff>944880</xdr:colOff>
          <xdr:row>14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8</xdr:row>
          <xdr:rowOff>53340</xdr:rowOff>
        </xdr:from>
        <xdr:to>
          <xdr:col>4</xdr:col>
          <xdr:colOff>624840</xdr:colOff>
          <xdr:row>10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4604D4-59E8-4350-9D81-E1D354D69000}" name="Equipment" displayName="Equipment" ref="A1:K18" totalsRowShown="0" headerRowDxfId="26" dataDxfId="25">
  <autoFilter ref="A1:K18" xr:uid="{0B4604D4-59E8-4350-9D81-E1D354D69000}"/>
  <sortState xmlns:xlrd2="http://schemas.microsoft.com/office/spreadsheetml/2017/richdata2" ref="A2:K18">
    <sortCondition ref="A1:A18"/>
  </sortState>
  <tableColumns count="11">
    <tableColumn id="1" xr3:uid="{BBDF2DF8-4544-4334-8469-987F00D3EE01}" name="REFERENCE NUMBER" dataDxfId="24"/>
    <tableColumn id="2" xr3:uid="{6725D7E8-38AF-444F-AACC-9B89BBD8C47B}" name="DATE LOGGED" dataDxfId="23"/>
    <tableColumn id="3" xr3:uid="{7AADB388-5671-4A44-8FE1-D6BC4BABDAC7}" name="SERIAL NUMBER" dataDxfId="22"/>
    <tableColumn id="4" xr3:uid="{52C1FF79-C479-4054-9E93-6175C11EE687}" name="EQUIPMENT TYPE" dataDxfId="21"/>
    <tableColumn id="5" xr3:uid="{32248402-21B8-4E2E-9347-EB3C8E156DA8}" name="BRAND" dataDxfId="20"/>
    <tableColumn id="6" xr3:uid="{6F6E65D0-377C-4FB4-A17F-5BB2888CF31C}" name="LOCATION" dataDxfId="19"/>
    <tableColumn id="7" xr3:uid="{506C5643-9F34-4EF4-BFEF-37F1BBC7D89B}" name="PMM DATE" dataDxfId="18"/>
    <tableColumn id="8" xr3:uid="{8A239B9E-56CF-45F7-A192-24B97C4B9FE6}" name="PMM STATUS" dataDxfId="17"/>
    <tableColumn id="9" xr3:uid="{9E9F3F60-7201-434E-B5A1-5DBEF3CDE218}" name="DESCRIPTION" dataDxfId="16"/>
    <tableColumn id="10" xr3:uid="{15EE1C6B-B39F-4FB8-B33A-1E7397A73F0C}" name="MAINTENANCE HISTORY" dataDxfId="15"/>
    <tableColumn id="11" xr3:uid="{D49B23BB-81E4-4BBC-9A8C-F8741B80C415}" name="NUMBER OF REPORTS" dataDxfId="1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D34F-9AC2-4290-AE5F-941C3FF3042D}">
  <sheetPr codeName="Sheet7">
    <tabColor rgb="FFFF0000"/>
    <pageSetUpPr fitToPage="1"/>
  </sheetPr>
  <dimension ref="A1:P40"/>
  <sheetViews>
    <sheetView showGridLines="0" topLeftCell="J2" zoomScaleNormal="100" workbookViewId="0">
      <selection activeCell="M10" sqref="M10"/>
    </sheetView>
  </sheetViews>
  <sheetFormatPr defaultColWidth="0" defaultRowHeight="14.4" customHeight="1" x14ac:dyDescent="0.3"/>
  <cols>
    <col min="1" max="1" width="6.33203125" style="75" customWidth="1"/>
    <col min="2" max="2" width="24.88671875" style="75" customWidth="1"/>
    <col min="3" max="3" width="18.77734375" style="75" customWidth="1"/>
    <col min="4" max="4" width="8.21875" style="75" customWidth="1"/>
    <col min="5" max="5" width="17.88671875" style="75" bestFit="1" customWidth="1"/>
    <col min="6" max="6" width="17.88671875" style="75" customWidth="1"/>
    <col min="7" max="7" width="5.77734375" style="75" customWidth="1"/>
    <col min="8" max="8" width="6" style="75" customWidth="1"/>
    <col min="9" max="9" width="24" style="75" customWidth="1"/>
    <col min="10" max="10" width="18.77734375" style="75" customWidth="1"/>
    <col min="11" max="11" width="8.21875" style="75" customWidth="1"/>
    <col min="12" max="12" width="17.88671875" style="75" bestFit="1" customWidth="1"/>
    <col min="13" max="13" width="17.88671875" style="75" customWidth="1"/>
    <col min="14" max="14" width="5.77734375" style="75" customWidth="1"/>
    <col min="15" max="15" width="8.88671875" style="75" customWidth="1"/>
    <col min="16" max="16" width="0" style="75" hidden="1" customWidth="1"/>
    <col min="17" max="16384" width="8.88671875" style="75" hidden="1"/>
  </cols>
  <sheetData>
    <row r="1" spans="1:14" ht="27" customHeight="1" x14ac:dyDescent="0.3">
      <c r="A1" s="63">
        <f ca="1">NOW()</f>
        <v>45717.895770717594</v>
      </c>
      <c r="B1" s="63"/>
      <c r="C1" s="108">
        <f ca="1">TODAY()</f>
        <v>45717</v>
      </c>
      <c r="H1" s="74"/>
      <c r="I1" s="78"/>
    </row>
    <row r="2" spans="1:14" ht="31.8" customHeight="1" x14ac:dyDescent="0.6">
      <c r="B2" s="154" t="s">
        <v>90</v>
      </c>
      <c r="C2" s="155"/>
      <c r="D2" s="155"/>
      <c r="E2" s="155"/>
      <c r="F2" s="154"/>
      <c r="G2" s="154"/>
      <c r="H2" s="74"/>
      <c r="I2" s="154" t="s">
        <v>91</v>
      </c>
      <c r="J2" s="155"/>
      <c r="K2" s="155"/>
      <c r="L2" s="155"/>
      <c r="M2" s="154"/>
      <c r="N2" s="154"/>
    </row>
    <row r="3" spans="1:14" ht="14.4" customHeight="1" x14ac:dyDescent="0.3">
      <c r="B3" s="32"/>
      <c r="C3" s="33"/>
      <c r="D3" s="28"/>
      <c r="E3" s="152" t="s">
        <v>43</v>
      </c>
      <c r="F3" s="152"/>
      <c r="G3" s="166" cm="1">
        <f t="array" ref="G3">IFERROR(LOOKUP(2,1/(Equipment[REFERENCE NUMBER]&lt;&gt;""),Equipment[REFERENCE NUMBER]) +1,1)</f>
        <v>18</v>
      </c>
      <c r="H3" s="74"/>
      <c r="I3" s="71"/>
      <c r="J3" s="72"/>
      <c r="K3" s="150"/>
      <c r="L3" s="28"/>
      <c r="M3" s="28"/>
      <c r="N3" s="29"/>
    </row>
    <row r="4" spans="1:14" ht="14.4" customHeight="1" x14ac:dyDescent="0.3">
      <c r="B4" s="34"/>
      <c r="C4" s="35"/>
      <c r="D4" s="30"/>
      <c r="E4" s="153"/>
      <c r="F4" s="153"/>
      <c r="G4" s="167"/>
      <c r="H4" s="74"/>
      <c r="I4" s="65" t="s">
        <v>43</v>
      </c>
      <c r="J4" s="118">
        <v>18</v>
      </c>
      <c r="K4" s="151"/>
      <c r="L4" s="30"/>
      <c r="M4" s="30"/>
      <c r="N4" s="31"/>
    </row>
    <row r="5" spans="1:14" ht="12" customHeight="1" x14ac:dyDescent="0.3">
      <c r="B5" s="32"/>
      <c r="C5" s="36"/>
      <c r="D5" s="36"/>
      <c r="E5" s="37"/>
      <c r="F5" s="37"/>
      <c r="G5" s="38"/>
      <c r="I5" s="32"/>
      <c r="J5" s="73"/>
      <c r="K5" s="36"/>
      <c r="L5" s="37"/>
      <c r="M5" s="37"/>
      <c r="N5" s="38"/>
    </row>
    <row r="6" spans="1:14" ht="15" customHeight="1" x14ac:dyDescent="0.3">
      <c r="B6" s="39" t="s">
        <v>3</v>
      </c>
      <c r="C6" s="106"/>
      <c r="D6" s="32"/>
      <c r="E6" s="40"/>
      <c r="F6" s="37"/>
      <c r="G6" s="38"/>
      <c r="I6" s="39" t="s">
        <v>3</v>
      </c>
      <c r="J6" s="116"/>
      <c r="K6" s="32"/>
      <c r="L6" s="40"/>
      <c r="M6" s="37"/>
      <c r="N6" s="38"/>
    </row>
    <row r="7" spans="1:14" ht="12" customHeight="1" x14ac:dyDescent="0.3">
      <c r="B7" s="41"/>
      <c r="C7" s="36"/>
      <c r="D7" s="36"/>
      <c r="E7" s="35"/>
      <c r="F7" s="36"/>
      <c r="G7" s="38"/>
      <c r="I7" s="41"/>
      <c r="J7" s="36"/>
      <c r="K7" s="36"/>
      <c r="L7" s="35"/>
      <c r="M7" s="36"/>
      <c r="N7" s="38"/>
    </row>
    <row r="8" spans="1:14" ht="15" customHeight="1" x14ac:dyDescent="0.3">
      <c r="B8" s="39" t="s">
        <v>5</v>
      </c>
      <c r="C8" s="106"/>
      <c r="D8" s="36"/>
      <c r="E8" s="35"/>
      <c r="F8" s="36"/>
      <c r="G8" s="38"/>
      <c r="I8" s="39" t="s">
        <v>5</v>
      </c>
      <c r="J8" s="116"/>
      <c r="K8" s="36"/>
      <c r="L8" s="40" t="s">
        <v>54</v>
      </c>
      <c r="M8" s="116"/>
      <c r="N8" s="38"/>
    </row>
    <row r="9" spans="1:14" ht="12" customHeight="1" x14ac:dyDescent="0.3">
      <c r="B9" s="41"/>
      <c r="C9" s="36"/>
      <c r="D9" s="36"/>
      <c r="E9" s="35"/>
      <c r="F9" s="36"/>
      <c r="G9" s="38"/>
      <c r="I9" s="41"/>
      <c r="J9" s="36"/>
      <c r="K9" s="36"/>
      <c r="L9" s="35"/>
      <c r="M9" s="36"/>
      <c r="N9" s="38"/>
    </row>
    <row r="10" spans="1:14" x14ac:dyDescent="0.3">
      <c r="A10" s="79"/>
      <c r="B10" s="40" t="s">
        <v>35</v>
      </c>
      <c r="C10" s="106"/>
      <c r="D10" s="36"/>
      <c r="E10" s="40" t="s">
        <v>36</v>
      </c>
      <c r="F10" s="117">
        <v>45651</v>
      </c>
      <c r="G10" s="107">
        <f ca="1">F10-C1</f>
        <v>-66</v>
      </c>
      <c r="I10" s="44" t="s">
        <v>35</v>
      </c>
      <c r="J10" s="116"/>
      <c r="K10" s="36"/>
      <c r="L10" s="40" t="s">
        <v>36</v>
      </c>
      <c r="M10" s="117"/>
      <c r="N10" s="38"/>
    </row>
    <row r="11" spans="1:14" ht="12" customHeight="1" x14ac:dyDescent="0.3">
      <c r="B11" s="41"/>
      <c r="C11" s="36"/>
      <c r="D11" s="36"/>
      <c r="E11" s="35"/>
      <c r="F11" s="36"/>
      <c r="G11" s="38"/>
      <c r="I11" s="41"/>
      <c r="J11" s="36"/>
      <c r="K11" s="36"/>
      <c r="L11" s="35"/>
      <c r="M11" s="36"/>
      <c r="N11" s="38"/>
    </row>
    <row r="12" spans="1:14" x14ac:dyDescent="0.3">
      <c r="B12" s="39" t="s">
        <v>4</v>
      </c>
      <c r="C12" s="27"/>
      <c r="D12" s="36"/>
      <c r="E12" s="40" t="s">
        <v>8</v>
      </c>
      <c r="F12" s="106" t="str">
        <f ca="1">IF(G10&lt;0,"DUE DATE",IF(G10=0,"LAST DAY",IF(G10&lt;30,"NEAR PPM",IF(G10="NO EXPIRY","NO EXPIRY","SAFE ACTIVE"))))</f>
        <v>DUE DATE</v>
      </c>
      <c r="G12" s="42"/>
      <c r="I12" s="39" t="s">
        <v>4</v>
      </c>
      <c r="J12" s="116"/>
      <c r="K12" s="36"/>
      <c r="L12" s="40" t="s">
        <v>8</v>
      </c>
      <c r="M12" s="116"/>
      <c r="N12" s="42"/>
    </row>
    <row r="13" spans="1:14" x14ac:dyDescent="0.3">
      <c r="B13" s="32"/>
      <c r="C13" s="36"/>
      <c r="D13" s="36"/>
      <c r="E13" s="36"/>
      <c r="F13" s="36"/>
      <c r="G13" s="43"/>
      <c r="I13" s="32"/>
      <c r="J13" s="36"/>
      <c r="K13" s="36"/>
      <c r="L13" s="36"/>
      <c r="M13" s="36"/>
      <c r="N13" s="43"/>
    </row>
    <row r="14" spans="1:14" x14ac:dyDescent="0.3">
      <c r="B14" s="32"/>
      <c r="C14" s="36"/>
      <c r="D14" s="36"/>
      <c r="E14" s="36"/>
      <c r="F14" s="36"/>
      <c r="G14" s="43"/>
      <c r="I14" s="32"/>
      <c r="J14" s="36"/>
      <c r="K14" s="36"/>
      <c r="L14" s="36"/>
      <c r="M14" s="36"/>
      <c r="N14" s="43"/>
    </row>
    <row r="15" spans="1:14" x14ac:dyDescent="0.3">
      <c r="B15" s="156" t="s">
        <v>71</v>
      </c>
      <c r="C15" s="157"/>
      <c r="D15" s="158"/>
      <c r="E15" s="158"/>
      <c r="F15" s="159"/>
      <c r="G15" s="38"/>
      <c r="I15" s="156" t="s">
        <v>48</v>
      </c>
      <c r="J15" s="137"/>
      <c r="K15" s="138"/>
      <c r="L15" s="138"/>
      <c r="M15" s="139"/>
      <c r="N15" s="38"/>
    </row>
    <row r="16" spans="1:14" x14ac:dyDescent="0.3">
      <c r="A16" s="76"/>
      <c r="B16" s="156"/>
      <c r="C16" s="160"/>
      <c r="D16" s="161"/>
      <c r="E16" s="161"/>
      <c r="F16" s="162"/>
      <c r="G16" s="43"/>
      <c r="H16" s="76"/>
      <c r="I16" s="156"/>
      <c r="J16" s="140"/>
      <c r="K16" s="141"/>
      <c r="L16" s="141"/>
      <c r="M16" s="142"/>
      <c r="N16" s="43"/>
    </row>
    <row r="17" spans="1:14" x14ac:dyDescent="0.3">
      <c r="A17" s="76"/>
      <c r="B17" s="156"/>
      <c r="C17" s="163"/>
      <c r="D17" s="164"/>
      <c r="E17" s="164"/>
      <c r="F17" s="165"/>
      <c r="G17" s="43"/>
      <c r="H17" s="76"/>
      <c r="I17" s="156"/>
      <c r="J17" s="143"/>
      <c r="K17" s="144"/>
      <c r="L17" s="144"/>
      <c r="M17" s="145"/>
      <c r="N17" s="43"/>
    </row>
    <row r="18" spans="1:14" x14ac:dyDescent="0.3">
      <c r="A18" s="76"/>
      <c r="B18" s="32"/>
      <c r="C18" s="36"/>
      <c r="D18" s="36"/>
      <c r="E18" s="36"/>
      <c r="F18" s="36"/>
      <c r="G18" s="43"/>
      <c r="H18" s="76"/>
      <c r="I18" s="32"/>
      <c r="J18" s="36"/>
      <c r="K18" s="36"/>
      <c r="L18" s="36"/>
      <c r="M18" s="36"/>
      <c r="N18" s="43"/>
    </row>
    <row r="19" spans="1:14" x14ac:dyDescent="0.3">
      <c r="A19" s="76"/>
      <c r="B19" s="149" t="s">
        <v>40</v>
      </c>
      <c r="C19" s="157"/>
      <c r="D19" s="158"/>
      <c r="E19" s="158"/>
      <c r="F19" s="159"/>
      <c r="G19" s="43"/>
      <c r="H19" s="76"/>
      <c r="I19" s="149" t="s">
        <v>38</v>
      </c>
      <c r="J19" s="128"/>
      <c r="K19" s="129"/>
      <c r="L19" s="129"/>
      <c r="M19" s="130"/>
      <c r="N19" s="43"/>
    </row>
    <row r="20" spans="1:14" x14ac:dyDescent="0.3">
      <c r="A20" s="76"/>
      <c r="B20" s="149"/>
      <c r="C20" s="160"/>
      <c r="D20" s="161"/>
      <c r="E20" s="161"/>
      <c r="F20" s="162"/>
      <c r="G20" s="43"/>
      <c r="H20" s="76"/>
      <c r="I20" s="149"/>
      <c r="J20" s="131"/>
      <c r="K20" s="132"/>
      <c r="L20" s="132"/>
      <c r="M20" s="133"/>
      <c r="N20" s="43"/>
    </row>
    <row r="21" spans="1:14" x14ac:dyDescent="0.3">
      <c r="A21" s="76"/>
      <c r="B21" s="149"/>
      <c r="C21" s="163"/>
      <c r="D21" s="164"/>
      <c r="E21" s="164"/>
      <c r="F21" s="165"/>
      <c r="G21" s="43"/>
      <c r="H21" s="76"/>
      <c r="I21" s="149"/>
      <c r="J21" s="134"/>
      <c r="K21" s="135"/>
      <c r="L21" s="135"/>
      <c r="M21" s="136"/>
      <c r="N21" s="43"/>
    </row>
    <row r="22" spans="1:14" x14ac:dyDescent="0.3">
      <c r="A22" s="76"/>
      <c r="B22" s="45"/>
      <c r="C22" s="46"/>
      <c r="D22" s="46"/>
      <c r="E22" s="46"/>
      <c r="F22" s="46"/>
      <c r="G22" s="47"/>
      <c r="H22" s="76"/>
      <c r="I22" s="45"/>
      <c r="J22" s="46"/>
      <c r="K22" s="46"/>
      <c r="L22" s="46"/>
      <c r="M22" s="46"/>
      <c r="N22" s="47"/>
    </row>
    <row r="23" spans="1:14" x14ac:dyDescent="0.3">
      <c r="A23" s="76"/>
      <c r="B23" s="45"/>
      <c r="C23" s="46"/>
      <c r="D23" s="46"/>
      <c r="E23" s="46"/>
      <c r="F23" s="46"/>
      <c r="G23" s="47"/>
      <c r="H23" s="76"/>
      <c r="I23" s="45"/>
      <c r="J23" s="46"/>
      <c r="K23" s="46"/>
      <c r="L23" s="46"/>
      <c r="M23" s="46"/>
      <c r="N23" s="47"/>
    </row>
    <row r="24" spans="1:14" x14ac:dyDescent="0.3">
      <c r="A24" s="76"/>
      <c r="B24" s="48"/>
      <c r="C24" s="49"/>
      <c r="D24" s="49"/>
      <c r="E24" s="49"/>
      <c r="F24" s="49"/>
      <c r="G24" s="50"/>
      <c r="H24" s="76"/>
      <c r="I24" s="48"/>
      <c r="J24" s="49"/>
      <c r="K24" s="49"/>
      <c r="L24" s="49"/>
      <c r="M24" s="49"/>
      <c r="N24" s="50"/>
    </row>
    <row r="25" spans="1:14" x14ac:dyDescent="0.3">
      <c r="A25" s="76"/>
      <c r="B25" s="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</row>
    <row r="26" spans="1:14" s="80" customFormat="1" hidden="1" x14ac:dyDescent="0.3">
      <c r="A26" s="77"/>
      <c r="B26" s="17"/>
      <c r="C26" s="17" t="s">
        <v>7</v>
      </c>
      <c r="D26" s="17">
        <f>G3</f>
        <v>18</v>
      </c>
      <c r="E26" s="17"/>
      <c r="F26" s="17"/>
      <c r="G26" s="17"/>
      <c r="H26" s="77"/>
      <c r="I26" s="17" t="s">
        <v>19</v>
      </c>
      <c r="J26" s="115">
        <v>45717.895579282405</v>
      </c>
      <c r="K26" s="17"/>
      <c r="L26" s="17"/>
      <c r="M26" s="17"/>
      <c r="N26" s="17"/>
    </row>
    <row r="27" spans="1:14" s="80" customFormat="1" hidden="1" x14ac:dyDescent="0.3">
      <c r="A27" s="77"/>
      <c r="B27" s="17"/>
      <c r="C27" s="17" t="s">
        <v>19</v>
      </c>
      <c r="D27" s="52">
        <f ca="1">A1</f>
        <v>45717.895770717594</v>
      </c>
      <c r="E27" s="52"/>
      <c r="F27" s="17"/>
      <c r="G27" s="17"/>
      <c r="H27" s="77"/>
      <c r="I27" s="17" t="s">
        <v>1</v>
      </c>
      <c r="J27" s="113">
        <v>112233</v>
      </c>
      <c r="K27" s="52"/>
      <c r="L27" s="52"/>
      <c r="M27" s="17"/>
      <c r="N27" s="17"/>
    </row>
    <row r="28" spans="1:14" s="80" customFormat="1" hidden="1" x14ac:dyDescent="0.3">
      <c r="A28" s="77"/>
      <c r="B28" s="17"/>
      <c r="C28" s="17" t="s">
        <v>1</v>
      </c>
      <c r="D28" s="51">
        <f>C6</f>
        <v>0</v>
      </c>
      <c r="E28" s="17"/>
      <c r="F28" s="17"/>
      <c r="G28" s="17"/>
      <c r="H28" s="77"/>
      <c r="I28" s="17" t="s">
        <v>12</v>
      </c>
      <c r="J28" s="113">
        <v>0</v>
      </c>
      <c r="K28" s="51"/>
      <c r="L28" s="17"/>
      <c r="M28" s="17"/>
      <c r="N28" s="17"/>
    </row>
    <row r="29" spans="1:14" s="80" customFormat="1" hidden="1" x14ac:dyDescent="0.3">
      <c r="A29" s="77"/>
      <c r="B29" s="17"/>
      <c r="C29" s="17" t="s">
        <v>12</v>
      </c>
      <c r="D29" s="51">
        <f>C8</f>
        <v>0</v>
      </c>
      <c r="E29" s="17"/>
      <c r="F29" s="17"/>
      <c r="G29" s="17"/>
      <c r="H29" s="77"/>
      <c r="I29" s="17" t="s">
        <v>20</v>
      </c>
      <c r="J29" s="113">
        <v>0</v>
      </c>
      <c r="K29" s="51"/>
      <c r="L29" s="17"/>
      <c r="M29" s="17"/>
      <c r="N29" s="17"/>
    </row>
    <row r="30" spans="1:14" s="80" customFormat="1" hidden="1" x14ac:dyDescent="0.3">
      <c r="A30" s="77"/>
      <c r="B30" s="17"/>
      <c r="C30" s="17" t="s">
        <v>20</v>
      </c>
      <c r="D30" s="51">
        <f>C10</f>
        <v>0</v>
      </c>
      <c r="E30" s="17"/>
      <c r="F30" s="17"/>
      <c r="G30" s="17"/>
      <c r="H30" s="77"/>
      <c r="I30" s="17" t="s">
        <v>15</v>
      </c>
      <c r="J30" s="113">
        <v>0</v>
      </c>
      <c r="K30" s="51"/>
      <c r="L30" s="17"/>
      <c r="M30" s="17"/>
      <c r="N30" s="17"/>
    </row>
    <row r="31" spans="1:14" s="80" customFormat="1" hidden="1" x14ac:dyDescent="0.3">
      <c r="A31" s="77"/>
      <c r="B31" s="17"/>
      <c r="C31" s="17" t="s">
        <v>15</v>
      </c>
      <c r="D31" s="51">
        <f>C12</f>
        <v>0</v>
      </c>
      <c r="E31" s="17"/>
      <c r="F31" s="17"/>
      <c r="G31" s="17"/>
      <c r="H31" s="77"/>
      <c r="I31" s="17" t="s">
        <v>39</v>
      </c>
      <c r="J31" s="114">
        <v>45651</v>
      </c>
      <c r="K31" s="51"/>
      <c r="L31" s="17"/>
      <c r="M31" s="17"/>
      <c r="N31" s="17"/>
    </row>
    <row r="32" spans="1:14" s="80" customFormat="1" hidden="1" x14ac:dyDescent="0.3">
      <c r="A32" s="77"/>
      <c r="B32" s="17"/>
      <c r="C32" s="17" t="s">
        <v>39</v>
      </c>
      <c r="D32" s="54">
        <f>F10</f>
        <v>45651</v>
      </c>
      <c r="E32" s="53"/>
      <c r="F32" s="17"/>
      <c r="G32" s="17"/>
      <c r="H32" s="77"/>
      <c r="I32" s="17" t="s">
        <v>13</v>
      </c>
      <c r="J32" s="113" t="s">
        <v>94</v>
      </c>
      <c r="K32" s="54"/>
      <c r="L32" s="53"/>
      <c r="M32" s="17"/>
      <c r="N32" s="17"/>
    </row>
    <row r="33" spans="1:14" s="80" customFormat="1" hidden="1" x14ac:dyDescent="0.3">
      <c r="A33" s="77"/>
      <c r="B33" s="17"/>
      <c r="C33" s="17" t="s">
        <v>13</v>
      </c>
      <c r="D33" s="51" t="str">
        <f ca="1">F12</f>
        <v>DUE DATE</v>
      </c>
      <c r="E33" s="17"/>
      <c r="F33" s="17"/>
      <c r="G33" s="17"/>
      <c r="H33" s="77"/>
      <c r="I33" s="17" t="s">
        <v>37</v>
      </c>
      <c r="J33" s="113">
        <v>0</v>
      </c>
      <c r="K33" s="51"/>
      <c r="L33" s="17"/>
      <c r="M33" s="17"/>
      <c r="N33" s="17"/>
    </row>
    <row r="34" spans="1:14" s="80" customFormat="1" hidden="1" x14ac:dyDescent="0.3">
      <c r="A34" s="77"/>
      <c r="B34" s="17"/>
      <c r="C34" s="17" t="s">
        <v>37</v>
      </c>
      <c r="D34" s="51">
        <f>C15</f>
        <v>0</v>
      </c>
      <c r="E34" s="17"/>
      <c r="F34" s="17"/>
      <c r="G34" s="17"/>
      <c r="H34" s="77"/>
      <c r="I34" s="17" t="s">
        <v>40</v>
      </c>
      <c r="J34" s="51">
        <v>0</v>
      </c>
      <c r="K34" s="51"/>
      <c r="L34" s="17"/>
      <c r="M34" s="17"/>
      <c r="N34" s="17"/>
    </row>
    <row r="35" spans="1:14" s="80" customFormat="1" hidden="1" x14ac:dyDescent="0.3">
      <c r="A35" s="77"/>
      <c r="B35" s="17"/>
      <c r="C35" s="17" t="s">
        <v>40</v>
      </c>
      <c r="D35" s="51">
        <f>C19</f>
        <v>0</v>
      </c>
      <c r="E35" s="17"/>
      <c r="F35" s="17"/>
      <c r="G35" s="17"/>
      <c r="H35" s="77"/>
      <c r="I35" s="17" t="s">
        <v>64</v>
      </c>
      <c r="J35" s="17">
        <v>0</v>
      </c>
      <c r="K35" s="51"/>
      <c r="L35" s="17"/>
      <c r="M35" s="17"/>
      <c r="N35" s="17"/>
    </row>
    <row r="36" spans="1:14" s="80" customFormat="1" hidden="1" x14ac:dyDescent="0.3">
      <c r="A36" s="77"/>
      <c r="B36" s="17"/>
      <c r="C36" s="17" t="s">
        <v>64</v>
      </c>
      <c r="D36" s="17">
        <v>0</v>
      </c>
      <c r="E36" s="17"/>
      <c r="F36" s="17"/>
      <c r="G36" s="17"/>
      <c r="H36" s="77"/>
      <c r="I36" s="17"/>
      <c r="J36" s="17" t="e">
        <v>#N/A</v>
      </c>
      <c r="K36" s="17"/>
      <c r="L36" s="17"/>
      <c r="M36" s="17"/>
      <c r="N36" s="17"/>
    </row>
    <row r="37" spans="1:14" s="80" customFormat="1" hidden="1" x14ac:dyDescent="0.3">
      <c r="A37" s="81">
        <v>18</v>
      </c>
      <c r="B37" s="57">
        <v>45717.895579282405</v>
      </c>
      <c r="C37" s="56">
        <v>112233</v>
      </c>
      <c r="D37" s="56">
        <v>0</v>
      </c>
      <c r="E37" s="56">
        <v>0</v>
      </c>
      <c r="F37" s="56">
        <v>0</v>
      </c>
      <c r="G37" s="100">
        <v>45651</v>
      </c>
      <c r="H37" s="81" t="s">
        <v>94</v>
      </c>
      <c r="I37" s="82">
        <v>0</v>
      </c>
      <c r="J37" s="82">
        <v>0</v>
      </c>
      <c r="K37" s="56">
        <v>0</v>
      </c>
      <c r="L37" s="56"/>
      <c r="M37" s="56"/>
      <c r="N37" s="56"/>
    </row>
    <row r="38" spans="1:14" x14ac:dyDescent="0.3">
      <c r="A38" s="76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</row>
    <row r="39" spans="1:14" x14ac:dyDescent="0.3">
      <c r="A39" s="76"/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</row>
    <row r="40" spans="1:14" x14ac:dyDescent="0.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</row>
  </sheetData>
  <mergeCells count="11">
    <mergeCell ref="B15:B17"/>
    <mergeCell ref="B19:B21"/>
    <mergeCell ref="C19:F21"/>
    <mergeCell ref="G3:G4"/>
    <mergeCell ref="B2:G2"/>
    <mergeCell ref="I19:I21"/>
    <mergeCell ref="K3:K4"/>
    <mergeCell ref="E3:F4"/>
    <mergeCell ref="I2:N2"/>
    <mergeCell ref="I15:I17"/>
    <mergeCell ref="C15:F17"/>
  </mergeCells>
  <pageMargins left="0.7" right="0.7" top="0.75" bottom="0.75" header="0.3" footer="0.3"/>
  <pageSetup scale="4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Sheet7.Clear_Form">
                <anchor moveWithCells="1" sizeWithCells="1">
                  <from>
                    <xdr:col>11</xdr:col>
                    <xdr:colOff>929640</xdr:colOff>
                    <xdr:row>21</xdr:row>
                    <xdr:rowOff>129540</xdr:rowOff>
                  </from>
                  <to>
                    <xdr:col>13</xdr:col>
                    <xdr:colOff>53340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RecordLog">
                <anchor moveWithCells="1" sizeWithCells="1">
                  <from>
                    <xdr:col>2</xdr:col>
                    <xdr:colOff>510540</xdr:colOff>
                    <xdr:row>21</xdr:row>
                    <xdr:rowOff>129540</xdr:rowOff>
                  </from>
                  <to>
                    <xdr:col>4</xdr:col>
                    <xdr:colOff>594360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6" name="Button 9">
              <controlPr defaultSize="0" print="0" autoFill="0" autoPict="0" macro="[0]!Sheet7.Update_Emp_Details">
                <anchor moveWithCells="1" sizeWithCells="1">
                  <from>
                    <xdr:col>8</xdr:col>
                    <xdr:colOff>541020</xdr:colOff>
                    <xdr:row>21</xdr:row>
                    <xdr:rowOff>137160</xdr:rowOff>
                  </from>
                  <to>
                    <xdr:col>9</xdr:col>
                    <xdr:colOff>449580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7" name="Button 13">
              <controlPr defaultSize="0" print="0" autoFill="0" autoPict="0" macro="[0]!Sheet7.Delete_Equipment_Data">
                <anchor moveWithCells="1" sizeWithCells="1">
                  <from>
                    <xdr:col>9</xdr:col>
                    <xdr:colOff>822960</xdr:colOff>
                    <xdr:row>21</xdr:row>
                    <xdr:rowOff>129540</xdr:rowOff>
                  </from>
                  <to>
                    <xdr:col>11</xdr:col>
                    <xdr:colOff>525780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toPDF">
                <anchor moveWithCells="1" sizeWithCells="1">
                  <from>
                    <xdr:col>11</xdr:col>
                    <xdr:colOff>640080</xdr:colOff>
                    <xdr:row>3</xdr:row>
                    <xdr:rowOff>68580</xdr:rowOff>
                  </from>
                  <to>
                    <xdr:col>12</xdr:col>
                    <xdr:colOff>967740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23CC58-3619-4683-A8C6-06A544B2998A}">
          <x14:formula1>
            <xm:f>DROPDOWN!$B$2:$B$13</xm:f>
          </x14:formula1>
          <xm:sqref>C12 J12</xm:sqref>
        </x14:dataValidation>
        <x14:dataValidation type="list" allowBlank="1" showInputMessage="1" showErrorMessage="1" xr:uid="{85167221-51A3-44FE-B753-077FEEC10A89}">
          <x14:formula1>
            <xm:f>'EQUIPMENT MONITORING DATA'!$A$1:$A$18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FE2D4-6093-42AD-941F-D67698F4F077}">
  <sheetPr codeName="Sheet4">
    <tabColor theme="1" tint="4.9989318521683403E-2"/>
    <pageSetUpPr fitToPage="1"/>
  </sheetPr>
  <dimension ref="A1:R41"/>
  <sheetViews>
    <sheetView showGridLines="0" tabSelected="1" topLeftCell="F1" workbookViewId="0">
      <selection activeCell="B9" sqref="B9"/>
    </sheetView>
  </sheetViews>
  <sheetFormatPr defaultColWidth="8.88671875" defaultRowHeight="14.4" x14ac:dyDescent="0.3"/>
  <cols>
    <col min="1" max="1" width="21.77734375" style="112" customWidth="1"/>
    <col min="2" max="2" width="24.21875" style="67" customWidth="1"/>
    <col min="3" max="3" width="17.21875" style="66" bestFit="1" customWidth="1"/>
    <col min="4" max="4" width="19.6640625" style="66" customWidth="1"/>
    <col min="5" max="5" width="16.33203125" style="66" bestFit="1" customWidth="1"/>
    <col min="6" max="6" width="20.5546875" style="66" bestFit="1" customWidth="1"/>
    <col min="7" max="7" width="17.109375" style="68" bestFit="1" customWidth="1"/>
    <col min="8" max="8" width="19.21875" style="66" customWidth="1"/>
    <col min="9" max="9" width="36.109375" style="60" customWidth="1"/>
    <col min="10" max="10" width="44.109375" style="60" customWidth="1"/>
    <col min="11" max="11" width="26.5546875" style="5" customWidth="1"/>
    <col min="12" max="12" width="8.88671875" style="5"/>
    <col min="14" max="16384" width="8.88671875" style="5"/>
  </cols>
  <sheetData>
    <row r="1" spans="1:18" s="64" customFormat="1" ht="49.8" customHeight="1" x14ac:dyDescent="0.3">
      <c r="A1" s="109" t="s">
        <v>43</v>
      </c>
      <c r="B1" s="61" t="s">
        <v>19</v>
      </c>
      <c r="C1" s="61" t="s">
        <v>1</v>
      </c>
      <c r="D1" s="61" t="s">
        <v>12</v>
      </c>
      <c r="E1" s="61" t="s">
        <v>20</v>
      </c>
      <c r="F1" s="61" t="s">
        <v>15</v>
      </c>
      <c r="G1" s="62" t="s">
        <v>39</v>
      </c>
      <c r="H1" s="61" t="s">
        <v>13</v>
      </c>
      <c r="I1" s="61" t="s">
        <v>37</v>
      </c>
      <c r="J1" s="61" t="s">
        <v>40</v>
      </c>
      <c r="K1" s="61" t="s">
        <v>53</v>
      </c>
    </row>
    <row r="2" spans="1:18" s="60" customFormat="1" ht="28.8" customHeight="1" x14ac:dyDescent="0.55000000000000004">
      <c r="A2" s="110">
        <v>1</v>
      </c>
      <c r="B2" s="59">
        <v>45626.86626909722</v>
      </c>
      <c r="C2" s="58">
        <v>123123</v>
      </c>
      <c r="D2" s="58" t="s">
        <v>41</v>
      </c>
      <c r="E2" s="58" t="s">
        <v>42</v>
      </c>
      <c r="F2" s="58" t="s">
        <v>23</v>
      </c>
      <c r="G2" s="96">
        <v>45597</v>
      </c>
      <c r="H2" s="58" t="s">
        <v>82</v>
      </c>
      <c r="I2" s="122">
        <v>0</v>
      </c>
      <c r="J2" s="119">
        <v>0</v>
      </c>
      <c r="K2" s="66"/>
      <c r="R2" s="146"/>
    </row>
    <row r="3" spans="1:18" s="60" customFormat="1" x14ac:dyDescent="0.3">
      <c r="A3" s="110">
        <v>2</v>
      </c>
      <c r="B3" s="59">
        <v>45626.868305787037</v>
      </c>
      <c r="C3" s="58">
        <v>1233414</v>
      </c>
      <c r="D3" s="58" t="s">
        <v>44</v>
      </c>
      <c r="E3" s="58" t="s">
        <v>45</v>
      </c>
      <c r="F3" s="58" t="s">
        <v>24</v>
      </c>
      <c r="G3" s="96">
        <v>45619</v>
      </c>
      <c r="H3" s="58" t="s">
        <v>82</v>
      </c>
      <c r="I3" s="122" t="s">
        <v>46</v>
      </c>
      <c r="J3" s="119" t="s">
        <v>47</v>
      </c>
      <c r="K3" s="66"/>
    </row>
    <row r="4" spans="1:18" s="60" customFormat="1" x14ac:dyDescent="0.3">
      <c r="A4" s="111">
        <v>3</v>
      </c>
      <c r="B4" s="59">
        <v>45626.915440856479</v>
      </c>
      <c r="C4" s="56" t="s">
        <v>76</v>
      </c>
      <c r="D4" s="56">
        <v>0</v>
      </c>
      <c r="E4" s="56">
        <v>0</v>
      </c>
      <c r="F4" s="56" t="s">
        <v>31</v>
      </c>
      <c r="G4" s="96">
        <v>45638</v>
      </c>
      <c r="H4" s="81" t="s">
        <v>83</v>
      </c>
      <c r="I4" s="123" t="s">
        <v>50</v>
      </c>
      <c r="J4" s="120" t="s">
        <v>51</v>
      </c>
      <c r="K4" s="66">
        <v>1</v>
      </c>
    </row>
    <row r="5" spans="1:18" s="60" customFormat="1" x14ac:dyDescent="0.3">
      <c r="A5" s="111">
        <v>4</v>
      </c>
      <c r="B5" s="59">
        <v>45628.672713541666</v>
      </c>
      <c r="C5" s="56">
        <v>0</v>
      </c>
      <c r="D5" s="56">
        <v>0</v>
      </c>
      <c r="E5" s="56">
        <v>0</v>
      </c>
      <c r="F5" s="56" t="s">
        <v>24</v>
      </c>
      <c r="G5" s="100">
        <v>45640</v>
      </c>
      <c r="H5" s="81" t="s">
        <v>83</v>
      </c>
      <c r="I5" s="120">
        <v>0</v>
      </c>
      <c r="J5" s="120">
        <v>0</v>
      </c>
      <c r="K5" s="56">
        <v>0</v>
      </c>
    </row>
    <row r="6" spans="1:18" s="60" customFormat="1" x14ac:dyDescent="0.3">
      <c r="A6" s="111">
        <v>5</v>
      </c>
      <c r="B6" s="59">
        <v>45628.674613425923</v>
      </c>
      <c r="C6" s="56">
        <v>0</v>
      </c>
      <c r="D6" s="56">
        <v>0</v>
      </c>
      <c r="E6" s="56">
        <v>0</v>
      </c>
      <c r="F6" s="56" t="s">
        <v>33</v>
      </c>
      <c r="G6" s="100">
        <v>45637</v>
      </c>
      <c r="H6" s="81" t="s">
        <v>83</v>
      </c>
      <c r="I6" s="120">
        <v>0</v>
      </c>
      <c r="J6" s="120">
        <v>0</v>
      </c>
      <c r="K6" s="56">
        <v>0</v>
      </c>
    </row>
    <row r="7" spans="1:18" s="60" customFormat="1" x14ac:dyDescent="0.3">
      <c r="A7" s="111">
        <v>6</v>
      </c>
      <c r="B7" s="59">
        <v>45628.674927199078</v>
      </c>
      <c r="C7" s="56">
        <v>0</v>
      </c>
      <c r="D7" s="56">
        <v>0</v>
      </c>
      <c r="E7" s="56">
        <v>0</v>
      </c>
      <c r="F7" s="56" t="s">
        <v>26</v>
      </c>
      <c r="G7" s="100">
        <v>46002</v>
      </c>
      <c r="H7" s="81" t="s">
        <v>75</v>
      </c>
      <c r="I7" s="120">
        <v>0</v>
      </c>
      <c r="J7" s="120">
        <v>0</v>
      </c>
      <c r="K7" s="56">
        <v>0</v>
      </c>
    </row>
    <row r="8" spans="1:18" s="60" customFormat="1" x14ac:dyDescent="0.3">
      <c r="A8" s="111">
        <v>7</v>
      </c>
      <c r="B8" s="59">
        <v>45628.722040162036</v>
      </c>
      <c r="C8" s="56" t="s">
        <v>65</v>
      </c>
      <c r="D8" s="56" t="s">
        <v>66</v>
      </c>
      <c r="E8" s="56" t="s">
        <v>67</v>
      </c>
      <c r="F8" s="56" t="s">
        <v>22</v>
      </c>
      <c r="G8" s="100">
        <v>45628</v>
      </c>
      <c r="H8" s="81" t="s">
        <v>84</v>
      </c>
      <c r="I8" s="120">
        <v>0</v>
      </c>
      <c r="J8" s="120">
        <v>0</v>
      </c>
      <c r="K8" s="56">
        <v>0</v>
      </c>
    </row>
    <row r="9" spans="1:18" s="60" customFormat="1" x14ac:dyDescent="0.3">
      <c r="A9" s="111">
        <v>8</v>
      </c>
      <c r="B9" s="59">
        <v>45628.724236805552</v>
      </c>
      <c r="C9" s="56" t="s">
        <v>68</v>
      </c>
      <c r="D9" s="56" t="s">
        <v>69</v>
      </c>
      <c r="E9" s="56" t="s">
        <v>70</v>
      </c>
      <c r="F9" s="56" t="s">
        <v>23</v>
      </c>
      <c r="G9" s="100">
        <v>45628</v>
      </c>
      <c r="H9" s="81" t="s">
        <v>84</v>
      </c>
      <c r="I9" s="120" t="s">
        <v>72</v>
      </c>
      <c r="J9" s="120" t="s">
        <v>72</v>
      </c>
      <c r="K9" s="56">
        <v>0</v>
      </c>
    </row>
    <row r="10" spans="1:18" s="60" customFormat="1" x14ac:dyDescent="0.3">
      <c r="A10" s="111">
        <v>9</v>
      </c>
      <c r="B10" s="59">
        <v>45628.733607407405</v>
      </c>
      <c r="C10" s="56">
        <v>123423</v>
      </c>
      <c r="D10" s="56" t="s">
        <v>80</v>
      </c>
      <c r="E10" s="56" t="s">
        <v>81</v>
      </c>
      <c r="F10" s="56" t="s">
        <v>24</v>
      </c>
      <c r="G10" s="100">
        <v>45658</v>
      </c>
      <c r="H10" s="81" t="s">
        <v>75</v>
      </c>
      <c r="I10" s="120" t="s">
        <v>85</v>
      </c>
      <c r="J10" s="120" t="s">
        <v>79</v>
      </c>
      <c r="K10" s="56">
        <v>2</v>
      </c>
    </row>
    <row r="11" spans="1:18" s="60" customFormat="1" ht="43.2" x14ac:dyDescent="0.3">
      <c r="A11" s="111">
        <v>10</v>
      </c>
      <c r="B11" s="59">
        <v>45628.733660300924</v>
      </c>
      <c r="C11" s="56">
        <v>0</v>
      </c>
      <c r="D11" s="56">
        <v>0</v>
      </c>
      <c r="E11" s="56">
        <v>0</v>
      </c>
      <c r="F11" s="56" t="s">
        <v>24</v>
      </c>
      <c r="G11" s="100">
        <v>0</v>
      </c>
      <c r="H11" s="81">
        <v>0</v>
      </c>
      <c r="I11" s="120">
        <v>0</v>
      </c>
      <c r="J11" s="120">
        <v>0</v>
      </c>
      <c r="K11" s="56">
        <v>0</v>
      </c>
    </row>
    <row r="12" spans="1:18" s="60" customFormat="1" x14ac:dyDescent="0.3">
      <c r="A12" s="111">
        <v>11</v>
      </c>
      <c r="B12" s="59">
        <v>45628.73567534722</v>
      </c>
      <c r="C12" s="56">
        <v>0</v>
      </c>
      <c r="D12" s="56">
        <v>0</v>
      </c>
      <c r="E12" s="56">
        <v>0</v>
      </c>
      <c r="F12" s="56" t="s">
        <v>30</v>
      </c>
      <c r="G12" s="100">
        <v>45931</v>
      </c>
      <c r="H12" s="81" t="s">
        <v>75</v>
      </c>
      <c r="I12" s="120">
        <v>0</v>
      </c>
      <c r="J12" s="120">
        <v>0</v>
      </c>
      <c r="K12" s="56">
        <v>0</v>
      </c>
    </row>
    <row r="13" spans="1:18" s="60" customFormat="1" x14ac:dyDescent="0.3">
      <c r="A13" s="111">
        <v>12</v>
      </c>
      <c r="B13" s="59">
        <v>45628.735968171299</v>
      </c>
      <c r="C13" s="56">
        <v>11</v>
      </c>
      <c r="D13" s="56">
        <v>0</v>
      </c>
      <c r="E13" s="56">
        <v>0</v>
      </c>
      <c r="F13" s="56" t="s">
        <v>23</v>
      </c>
      <c r="G13" s="100">
        <v>45659</v>
      </c>
      <c r="H13" s="81" t="s">
        <v>75</v>
      </c>
      <c r="I13" s="120">
        <v>0</v>
      </c>
      <c r="J13" s="120">
        <v>0</v>
      </c>
      <c r="K13" s="56">
        <v>0</v>
      </c>
    </row>
    <row r="14" spans="1:18" s="60" customFormat="1" x14ac:dyDescent="0.3">
      <c r="A14" s="81">
        <v>15</v>
      </c>
      <c r="B14" s="59">
        <v>45628.770370370374</v>
      </c>
      <c r="C14" s="56">
        <v>0</v>
      </c>
      <c r="D14" s="56">
        <v>0</v>
      </c>
      <c r="E14" s="56">
        <v>0</v>
      </c>
      <c r="F14" s="56" t="s">
        <v>23</v>
      </c>
      <c r="G14" s="100">
        <v>45658</v>
      </c>
      <c r="H14" s="81" t="s">
        <v>75</v>
      </c>
      <c r="I14" s="120">
        <v>0</v>
      </c>
      <c r="J14" s="120">
        <v>0</v>
      </c>
      <c r="K14" s="56">
        <v>0</v>
      </c>
    </row>
    <row r="15" spans="1:18" s="60" customFormat="1" x14ac:dyDescent="0.3">
      <c r="A15" s="81">
        <v>16</v>
      </c>
      <c r="B15" s="59">
        <v>45628.796271527775</v>
      </c>
      <c r="C15" s="56">
        <v>0</v>
      </c>
      <c r="D15" s="56">
        <v>0</v>
      </c>
      <c r="E15" s="56">
        <v>0</v>
      </c>
      <c r="F15" s="56" t="s">
        <v>23</v>
      </c>
      <c r="G15" s="100">
        <v>45658</v>
      </c>
      <c r="H15" s="81" t="s">
        <v>75</v>
      </c>
      <c r="I15" s="120">
        <v>0</v>
      </c>
      <c r="J15" s="120">
        <v>0</v>
      </c>
      <c r="K15" s="56">
        <v>0</v>
      </c>
    </row>
    <row r="16" spans="1:18" s="60" customFormat="1" x14ac:dyDescent="0.3">
      <c r="A16" s="81">
        <v>17</v>
      </c>
      <c r="B16" s="57">
        <v>45634.738381944444</v>
      </c>
      <c r="C16" s="56">
        <v>123415</v>
      </c>
      <c r="D16" s="56" t="s">
        <v>86</v>
      </c>
      <c r="E16" s="56" t="s">
        <v>87</v>
      </c>
      <c r="F16" s="56" t="s">
        <v>23</v>
      </c>
      <c r="G16" s="100">
        <v>45651</v>
      </c>
      <c r="H16" s="81" t="s">
        <v>89</v>
      </c>
      <c r="I16" s="82" t="s">
        <v>88</v>
      </c>
      <c r="J16" s="82" t="s">
        <v>88</v>
      </c>
      <c r="K16" s="56">
        <v>0</v>
      </c>
    </row>
    <row r="17" spans="1:11" s="60" customFormat="1" x14ac:dyDescent="0.3">
      <c r="A17" s="81"/>
      <c r="B17" s="57"/>
      <c r="C17" s="56"/>
      <c r="D17" s="56"/>
      <c r="E17" s="56"/>
      <c r="F17" s="56"/>
      <c r="G17" s="100"/>
      <c r="H17" s="81"/>
      <c r="I17" s="82"/>
      <c r="J17" s="82"/>
      <c r="K17" s="56"/>
    </row>
    <row r="18" spans="1:11" s="60" customFormat="1" x14ac:dyDescent="0.3">
      <c r="A18" s="81"/>
      <c r="B18" s="57"/>
      <c r="C18" s="56"/>
      <c r="D18" s="56"/>
      <c r="E18" s="56"/>
      <c r="F18" s="56"/>
      <c r="G18" s="100"/>
      <c r="H18" s="81"/>
      <c r="I18" s="82"/>
      <c r="J18" s="82"/>
      <c r="K18" s="56"/>
    </row>
    <row r="19" spans="1:11" s="60" customFormat="1" x14ac:dyDescent="0.3">
      <c r="A19" s="110"/>
      <c r="B19" s="59"/>
      <c r="C19" s="58"/>
      <c r="D19" s="58"/>
      <c r="E19" s="58"/>
      <c r="F19" s="96"/>
      <c r="G19" s="96"/>
      <c r="H19" s="58"/>
      <c r="J19" s="121"/>
    </row>
    <row r="20" spans="1:11" s="60" customFormat="1" x14ac:dyDescent="0.3">
      <c r="A20" s="110"/>
      <c r="B20" s="59"/>
      <c r="C20" s="58"/>
      <c r="D20" s="58"/>
      <c r="E20" s="58"/>
      <c r="F20" s="58"/>
      <c r="G20" s="96"/>
      <c r="H20" s="58"/>
    </row>
    <row r="21" spans="1:11" s="60" customFormat="1" x14ac:dyDescent="0.3">
      <c r="A21" s="110"/>
      <c r="B21" s="59"/>
      <c r="C21" s="58"/>
      <c r="D21" s="58"/>
      <c r="E21" s="58"/>
      <c r="F21" s="58"/>
      <c r="G21" s="96"/>
      <c r="H21" s="58"/>
    </row>
    <row r="22" spans="1:11" s="60" customFormat="1" x14ac:dyDescent="0.3">
      <c r="A22" s="110"/>
      <c r="B22" s="59"/>
      <c r="C22" s="58"/>
      <c r="D22" s="58"/>
      <c r="E22" s="58"/>
      <c r="F22" s="58"/>
      <c r="G22" s="96"/>
      <c r="H22" s="58"/>
    </row>
    <row r="23" spans="1:11" s="60" customFormat="1" x14ac:dyDescent="0.3">
      <c r="A23" s="112"/>
      <c r="B23" s="67"/>
      <c r="C23" s="66"/>
      <c r="D23" s="66"/>
      <c r="E23" s="66"/>
      <c r="F23" s="66"/>
      <c r="G23" s="97"/>
      <c r="H23" s="66"/>
    </row>
    <row r="24" spans="1:11" s="60" customFormat="1" x14ac:dyDescent="0.3">
      <c r="A24" s="112"/>
      <c r="B24" s="67"/>
      <c r="C24" s="66"/>
      <c r="D24" s="66"/>
      <c r="E24" s="66"/>
      <c r="F24" s="66"/>
      <c r="G24" s="97"/>
      <c r="H24" s="66"/>
    </row>
    <row r="25" spans="1:11" x14ac:dyDescent="0.3">
      <c r="G25" s="97"/>
      <c r="K25" s="60"/>
    </row>
    <row r="26" spans="1:11" x14ac:dyDescent="0.3">
      <c r="B26" s="66"/>
      <c r="G26" s="97"/>
      <c r="K26" s="60"/>
    </row>
    <row r="27" spans="1:11" x14ac:dyDescent="0.3">
      <c r="B27" s="66"/>
      <c r="G27" s="97"/>
      <c r="K27" s="60"/>
    </row>
    <row r="28" spans="1:11" x14ac:dyDescent="0.3">
      <c r="G28" s="97"/>
      <c r="K28" s="60"/>
    </row>
    <row r="29" spans="1:11" x14ac:dyDescent="0.3">
      <c r="G29" s="97"/>
      <c r="K29" s="60"/>
    </row>
    <row r="30" spans="1:11" x14ac:dyDescent="0.3">
      <c r="B30" s="66"/>
      <c r="G30" s="97"/>
      <c r="K30" s="60"/>
    </row>
    <row r="31" spans="1:11" x14ac:dyDescent="0.3">
      <c r="B31" s="66"/>
      <c r="G31" s="97"/>
      <c r="K31" s="60"/>
    </row>
    <row r="32" spans="1:11" x14ac:dyDescent="0.3">
      <c r="B32" s="66"/>
      <c r="G32" s="97"/>
      <c r="K32" s="60"/>
    </row>
    <row r="33" spans="11:11" x14ac:dyDescent="0.3">
      <c r="K33" s="60"/>
    </row>
    <row r="34" spans="11:11" x14ac:dyDescent="0.3">
      <c r="K34" s="60"/>
    </row>
    <row r="35" spans="11:11" x14ac:dyDescent="0.3">
      <c r="K35" s="60"/>
    </row>
    <row r="36" spans="11:11" x14ac:dyDescent="0.3">
      <c r="K36" s="60"/>
    </row>
    <row r="37" spans="11:11" x14ac:dyDescent="0.3">
      <c r="K37" s="60"/>
    </row>
    <row r="38" spans="11:11" x14ac:dyDescent="0.3">
      <c r="K38" s="60"/>
    </row>
    <row r="39" spans="11:11" x14ac:dyDescent="0.3">
      <c r="K39" s="60"/>
    </row>
    <row r="40" spans="11:11" x14ac:dyDescent="0.3">
      <c r="K40" s="60"/>
    </row>
    <row r="41" spans="11:11" x14ac:dyDescent="0.3">
      <c r="K41" s="60"/>
    </row>
  </sheetData>
  <conditionalFormatting sqref="G2:G18">
    <cfRule type="containsBlanks" dxfId="13" priority="2">
      <formula>LEN(TRIM(G2))=0</formula>
    </cfRule>
  </conditionalFormatting>
  <pageMargins left="0.7" right="0.7" top="0.75" bottom="0.75" header="0.3" footer="0.3"/>
  <pageSetup scale="4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eet4.PDFMonthlyReport">
                <anchor moveWithCells="1" sizeWithCells="1">
                  <from>
                    <xdr:col>11</xdr:col>
                    <xdr:colOff>121920</xdr:colOff>
                    <xdr:row>0</xdr:row>
                    <xdr:rowOff>121920</xdr:rowOff>
                  </from>
                  <to>
                    <xdr:col>14</xdr:col>
                    <xdr:colOff>15240</xdr:colOff>
                    <xdr:row>0</xdr:row>
                    <xdr:rowOff>541020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ADC07F38-BE9B-4A05-8E0D-D939BA7FAB5D}">
            <xm:f>G2-FORMULA!$D$1&gt;30</xm:f>
            <x14:dxf>
              <fill>
                <patternFill>
                  <bgColor rgb="FF00B050"/>
                </patternFill>
              </fill>
            </x14:dxf>
          </x14:cfRule>
          <x14:cfRule type="expression" priority="4" id="{4F1A4CCF-D6F3-4805-9BE8-7048289E29AA}">
            <xm:f>G2-FORMULA!$D$1&lt;0</xm:f>
            <x14:dxf>
              <fill>
                <patternFill>
                  <bgColor rgb="FFFF0000"/>
                </patternFill>
              </fill>
            </x14:dxf>
          </x14:cfRule>
          <x14:cfRule type="expression" priority="5" id="{57A38178-49ED-49A5-9303-AEBB74E0D1A7}">
            <xm:f>G2-FORMULA!$D$1&lt;30</xm:f>
            <x14:dxf>
              <fill>
                <patternFill>
                  <bgColor rgb="FFFFFF00"/>
                </patternFill>
              </fill>
            </x14:dxf>
          </x14:cfRule>
          <xm:sqref>G2:G18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FB38C-D34E-4EE7-A8A9-C1F60BC0012C}">
  <sheetPr codeName="Sheet6">
    <tabColor theme="5"/>
    <pageSetUpPr fitToPage="1"/>
  </sheetPr>
  <dimension ref="A1:XFC38"/>
  <sheetViews>
    <sheetView showGridLines="0" zoomScaleNormal="100" workbookViewId="0">
      <selection activeCell="E6" sqref="E6"/>
    </sheetView>
  </sheetViews>
  <sheetFormatPr defaultColWidth="0" defaultRowHeight="14.4" customHeight="1" x14ac:dyDescent="0.3"/>
  <cols>
    <col min="1" max="1" width="17.77734375" style="101" customWidth="1"/>
    <col min="2" max="2" width="22.5546875" style="101" bestFit="1" customWidth="1"/>
    <col min="3" max="3" width="18.77734375" style="101" customWidth="1"/>
    <col min="4" max="4" width="13" style="101" customWidth="1"/>
    <col min="5" max="5" width="17.88671875" style="101" bestFit="1" customWidth="1"/>
    <col min="6" max="6" width="18.77734375" style="101" customWidth="1"/>
    <col min="7" max="7" width="11.21875" style="102" customWidth="1"/>
    <col min="8" max="8" width="19.109375" style="101" customWidth="1"/>
    <col min="9" max="9" width="14.33203125" style="104" customWidth="1"/>
    <col min="10" max="10" width="20.21875" style="104" customWidth="1"/>
    <col min="11" max="11" width="20.88671875" style="101" customWidth="1"/>
    <col min="12" max="16383" width="8.88671875" hidden="1"/>
    <col min="16384" max="16384" width="5.5546875" hidden="1"/>
  </cols>
  <sheetData>
    <row r="1" spans="1:11" ht="27" customHeight="1" x14ac:dyDescent="0.3">
      <c r="A1" s="168">
        <f ca="1">NOW()</f>
        <v>45717.895770717594</v>
      </c>
      <c r="B1" s="168"/>
      <c r="C1" s="94" t="s">
        <v>34</v>
      </c>
      <c r="D1" s="93">
        <v>0</v>
      </c>
      <c r="E1"/>
      <c r="F1"/>
      <c r="G1"/>
      <c r="H1"/>
      <c r="I1"/>
      <c r="J1"/>
      <c r="K1"/>
    </row>
    <row r="2" spans="1:11" ht="31.8" customHeight="1" x14ac:dyDescent="0.6">
      <c r="A2"/>
      <c r="B2" s="169" t="s">
        <v>92</v>
      </c>
      <c r="C2" s="170"/>
      <c r="D2" s="170"/>
      <c r="E2" s="170"/>
      <c r="F2" s="170"/>
      <c r="G2" s="170"/>
      <c r="H2" s="170"/>
      <c r="I2" s="170"/>
      <c r="J2"/>
      <c r="K2"/>
    </row>
    <row r="3" spans="1:11" ht="14.4" customHeight="1" x14ac:dyDescent="0.3">
      <c r="A3"/>
      <c r="B3" s="84"/>
      <c r="C3" s="87"/>
      <c r="D3" s="87"/>
      <c r="E3" s="87"/>
      <c r="F3" s="87"/>
      <c r="G3" s="87"/>
      <c r="H3" s="87"/>
      <c r="I3" s="85"/>
      <c r="J3"/>
      <c r="K3"/>
    </row>
    <row r="4" spans="1:11" ht="14.4" customHeight="1" x14ac:dyDescent="0.3">
      <c r="A4"/>
      <c r="B4" s="84"/>
      <c r="C4" s="87"/>
      <c r="D4" s="87"/>
      <c r="E4" s="87"/>
      <c r="F4" s="87"/>
      <c r="G4" s="87"/>
      <c r="H4" s="126"/>
      <c r="I4" s="127"/>
      <c r="J4"/>
      <c r="K4"/>
    </row>
    <row r="5" spans="1:11" ht="15.6" customHeight="1" x14ac:dyDescent="0.3">
      <c r="A5"/>
      <c r="B5" s="84"/>
      <c r="C5" s="87"/>
      <c r="D5" s="87"/>
      <c r="E5" s="87"/>
      <c r="F5" s="87"/>
      <c r="G5" s="87"/>
      <c r="H5" s="126"/>
      <c r="I5" s="127"/>
      <c r="J5"/>
      <c r="K5"/>
    </row>
    <row r="6" spans="1:11" ht="15" customHeight="1" x14ac:dyDescent="0.3">
      <c r="A6"/>
      <c r="B6" s="6"/>
      <c r="C6" s="83"/>
      <c r="D6" s="124" t="s">
        <v>61</v>
      </c>
      <c r="E6" s="125" t="s">
        <v>93</v>
      </c>
      <c r="F6" s="5"/>
      <c r="G6" s="87"/>
      <c r="H6"/>
      <c r="I6" s="1"/>
      <c r="J6"/>
      <c r="K6"/>
    </row>
    <row r="7" spans="1:11" ht="19.8" customHeight="1" x14ac:dyDescent="0.3">
      <c r="A7"/>
      <c r="B7" s="8"/>
      <c r="C7" s="25"/>
      <c r="D7" s="88" t="s">
        <v>34</v>
      </c>
      <c r="E7" s="5"/>
      <c r="F7" s="5"/>
      <c r="G7"/>
      <c r="H7"/>
      <c r="I7" s="1"/>
      <c r="J7"/>
      <c r="K7"/>
    </row>
    <row r="8" spans="1:11" ht="15" customHeight="1" x14ac:dyDescent="0.3">
      <c r="A8"/>
      <c r="B8" s="21"/>
      <c r="C8" s="83"/>
      <c r="D8" s="5"/>
      <c r="E8" s="5"/>
      <c r="F8" s="5"/>
      <c r="G8"/>
      <c r="H8"/>
      <c r="I8" s="1"/>
      <c r="J8"/>
      <c r="K8"/>
    </row>
    <row r="9" spans="1:11" ht="6" customHeight="1" x14ac:dyDescent="0.3">
      <c r="A9"/>
      <c r="B9" s="21"/>
      <c r="C9" s="5"/>
      <c r="D9" s="5"/>
      <c r="E9" s="5"/>
      <c r="F9" s="5"/>
      <c r="G9"/>
      <c r="H9"/>
      <c r="I9" s="1"/>
      <c r="J9"/>
      <c r="K9"/>
    </row>
    <row r="10" spans="1:11" x14ac:dyDescent="0.3">
      <c r="A10"/>
      <c r="B10" s="21"/>
      <c r="C10" s="5"/>
      <c r="D10" s="5"/>
      <c r="E10" s="5"/>
      <c r="F10" s="5"/>
      <c r="G10"/>
      <c r="H10"/>
      <c r="I10" s="1"/>
      <c r="J10"/>
      <c r="K10"/>
    </row>
    <row r="11" spans="1:11" ht="6" customHeight="1" x14ac:dyDescent="0.3">
      <c r="A11"/>
      <c r="B11" s="21"/>
      <c r="C11" s="5"/>
      <c r="D11" s="5"/>
      <c r="E11" s="5"/>
      <c r="F11" s="5"/>
      <c r="G11"/>
      <c r="H11"/>
      <c r="I11" s="1"/>
      <c r="J11"/>
      <c r="K11"/>
    </row>
    <row r="12" spans="1:11" x14ac:dyDescent="0.3">
      <c r="A12"/>
      <c r="B12" s="10"/>
      <c r="C12" s="11"/>
      <c r="D12" s="11"/>
      <c r="E12" s="11"/>
      <c r="F12" s="11"/>
      <c r="G12" s="86"/>
      <c r="H12" s="86"/>
      <c r="I12" s="2"/>
      <c r="J12"/>
      <c r="K12"/>
    </row>
    <row r="13" spans="1:11" x14ac:dyDescent="0.3">
      <c r="A13" s="19"/>
      <c r="B13" s="19"/>
      <c r="C13" s="19"/>
      <c r="D13" s="19"/>
      <c r="E13" s="19"/>
      <c r="F13" s="19"/>
      <c r="G13" s="19"/>
      <c r="H13" s="19"/>
      <c r="I13" s="19"/>
      <c r="J13"/>
      <c r="K13"/>
    </row>
    <row r="14" spans="1:11" ht="27" customHeight="1" x14ac:dyDescent="0.3">
      <c r="A14" s="61" t="s">
        <v>43</v>
      </c>
      <c r="B14" s="61" t="s">
        <v>19</v>
      </c>
      <c r="C14" s="61" t="s">
        <v>1</v>
      </c>
      <c r="D14" s="61" t="s">
        <v>12</v>
      </c>
      <c r="E14" s="61" t="s">
        <v>20</v>
      </c>
      <c r="F14" s="61" t="s">
        <v>15</v>
      </c>
      <c r="G14" s="62" t="s">
        <v>39</v>
      </c>
      <c r="H14" s="61" t="s">
        <v>13</v>
      </c>
      <c r="I14" s="61" t="s">
        <v>37</v>
      </c>
      <c r="J14" s="61" t="s">
        <v>40</v>
      </c>
      <c r="K14" s="61" t="s">
        <v>53</v>
      </c>
    </row>
    <row r="15" spans="1:11" s="16" customFormat="1" x14ac:dyDescent="0.3">
      <c r="A15" s="89" t="str" cm="1">
        <f t="array" ref="A15">IF(C1="","ENTER SEARCH",_xlfn._xlws.FILTER(Equipment[],ISNUMBER(SEARCH(C1,Equipment[REFERENCE NUMBER]))+ISNUMBER(SEARCH(C1,Equipment[DATE LOGGED]))+ISNUMBER(SEARCH(C1,Equipment[SERIAL NUMBER]))+ISNUMBER(SEARCH(C1,Equipment[EQUIPMENT TYPE]))+ISNUMBER(SEARCH(C1,Equipment[BRAND]))+ISNUMBER(SEARCH(C1,Equipment[LOCATION]))+ISNUMBER(SEARCH(C1,Equipment[PMM DATE]))+ISNUMBER(SEARCH(C1,Equipment[PMM STATUS]))+ISNUMBER(SEARCH(C1,Equipment[DESCRIPTION]))+ISNUMBER(SEARCH(C1,Equipment[MAINTENANCE HISTORY])),"NONE"))</f>
        <v>ENTER SEARCH</v>
      </c>
      <c r="B15" s="90"/>
      <c r="C15" s="91"/>
      <c r="D15" s="91"/>
      <c r="E15" s="91"/>
      <c r="F15" s="91"/>
      <c r="G15" s="95"/>
      <c r="H15" s="91"/>
      <c r="I15" s="105"/>
      <c r="J15" s="103"/>
      <c r="K15" s="92"/>
    </row>
    <row r="16" spans="1:11" s="16" customFormat="1" x14ac:dyDescent="0.3">
      <c r="A16" s="91"/>
      <c r="B16" s="90"/>
      <c r="C16" s="91"/>
      <c r="D16" s="91"/>
      <c r="E16" s="91"/>
      <c r="F16" s="91"/>
      <c r="G16" s="95"/>
      <c r="H16" s="91"/>
      <c r="I16" s="105"/>
      <c r="J16" s="103"/>
      <c r="K16" s="92"/>
    </row>
    <row r="17" spans="1:11" s="16" customFormat="1" x14ac:dyDescent="0.3">
      <c r="A17" s="91"/>
      <c r="B17" s="90"/>
      <c r="C17" s="91"/>
      <c r="D17" s="91"/>
      <c r="E17" s="91"/>
      <c r="F17" s="91"/>
      <c r="G17" s="95"/>
      <c r="H17" s="91"/>
      <c r="I17" s="105"/>
      <c r="J17" s="103"/>
      <c r="K17" s="92"/>
    </row>
    <row r="18" spans="1:11" s="16" customFormat="1" x14ac:dyDescent="0.3">
      <c r="A18" s="91"/>
      <c r="B18" s="90"/>
      <c r="C18" s="91"/>
      <c r="D18" s="91"/>
      <c r="E18" s="91"/>
      <c r="F18" s="91"/>
      <c r="G18" s="95"/>
      <c r="H18" s="91"/>
      <c r="I18" s="105"/>
      <c r="J18" s="103"/>
      <c r="K18" s="92"/>
    </row>
    <row r="19" spans="1:11" s="16" customFormat="1" x14ac:dyDescent="0.3">
      <c r="A19" s="91"/>
      <c r="B19" s="90"/>
      <c r="C19" s="91"/>
      <c r="D19" s="91"/>
      <c r="E19" s="91"/>
      <c r="F19" s="91"/>
      <c r="G19" s="95"/>
      <c r="H19" s="91"/>
      <c r="I19" s="105"/>
      <c r="J19" s="103"/>
      <c r="K19" s="92"/>
    </row>
    <row r="20" spans="1:11" s="16" customFormat="1" x14ac:dyDescent="0.3">
      <c r="A20" s="91"/>
      <c r="B20" s="90"/>
      <c r="C20" s="91"/>
      <c r="D20" s="91"/>
      <c r="E20" s="91"/>
      <c r="F20" s="91"/>
      <c r="G20" s="95"/>
      <c r="H20" s="91"/>
      <c r="I20" s="105"/>
      <c r="J20" s="103"/>
      <c r="K20" s="92"/>
    </row>
    <row r="21" spans="1:11" s="16" customFormat="1" x14ac:dyDescent="0.3">
      <c r="A21" s="89"/>
      <c r="B21" s="90"/>
      <c r="C21" s="91"/>
      <c r="D21" s="91"/>
      <c r="E21" s="91"/>
      <c r="F21" s="91"/>
      <c r="G21" s="95"/>
      <c r="H21" s="91"/>
      <c r="I21" s="105"/>
      <c r="J21" s="103"/>
      <c r="K21" s="92"/>
    </row>
    <row r="22" spans="1:11" s="16" customFormat="1" x14ac:dyDescent="0.3">
      <c r="A22" s="89"/>
      <c r="B22" s="90"/>
      <c r="C22" s="91"/>
      <c r="D22" s="91"/>
      <c r="E22" s="91"/>
      <c r="F22" s="91"/>
      <c r="G22" s="95"/>
      <c r="H22" s="91"/>
      <c r="I22" s="105"/>
      <c r="J22" s="103"/>
      <c r="K22" s="92"/>
    </row>
    <row r="23" spans="1:11" s="16" customFormat="1" x14ac:dyDescent="0.3">
      <c r="A23" s="91"/>
      <c r="B23" s="90"/>
      <c r="C23" s="91"/>
      <c r="D23" s="91"/>
      <c r="E23" s="91"/>
      <c r="F23" s="91"/>
      <c r="G23" s="95"/>
      <c r="H23" s="91"/>
      <c r="I23" s="105"/>
      <c r="J23" s="103"/>
      <c r="K23" s="92"/>
    </row>
    <row r="24" spans="1:11" s="16" customFormat="1" x14ac:dyDescent="0.3">
      <c r="A24" s="91"/>
      <c r="B24" s="90"/>
      <c r="C24" s="91"/>
      <c r="D24" s="91"/>
      <c r="E24" s="91"/>
      <c r="F24" s="91"/>
      <c r="G24" s="95"/>
      <c r="H24" s="91"/>
      <c r="I24" s="105"/>
      <c r="J24" s="103"/>
      <c r="K24" s="92"/>
    </row>
    <row r="25" spans="1:11" s="16" customFormat="1" x14ac:dyDescent="0.3">
      <c r="A25" s="91"/>
      <c r="B25" s="90"/>
      <c r="C25" s="91"/>
      <c r="D25" s="91"/>
      <c r="E25" s="91"/>
      <c r="F25" s="91"/>
      <c r="G25" s="95"/>
      <c r="H25" s="91"/>
      <c r="I25" s="105"/>
      <c r="J25" s="103"/>
      <c r="K25" s="92"/>
    </row>
    <row r="26" spans="1:11" s="16" customFormat="1" x14ac:dyDescent="0.3">
      <c r="A26" s="91"/>
      <c r="B26" s="90"/>
      <c r="C26" s="91"/>
      <c r="D26" s="91"/>
      <c r="E26" s="91"/>
      <c r="F26" s="91"/>
      <c r="G26" s="95"/>
      <c r="H26" s="91"/>
      <c r="I26" s="105"/>
      <c r="J26" s="103"/>
      <c r="K26" s="92"/>
    </row>
    <row r="27" spans="1:11" x14ac:dyDescent="0.3">
      <c r="A27" s="91"/>
      <c r="B27" s="90"/>
      <c r="C27" s="91"/>
      <c r="D27" s="91"/>
      <c r="E27" s="91"/>
      <c r="F27" s="91"/>
      <c r="G27" s="95"/>
      <c r="H27" s="91"/>
      <c r="I27" s="105"/>
    </row>
    <row r="28" spans="1:11" x14ac:dyDescent="0.3">
      <c r="A28" s="91"/>
      <c r="B28" s="90"/>
      <c r="C28" s="91"/>
      <c r="D28" s="91"/>
      <c r="E28" s="91"/>
      <c r="F28" s="91"/>
      <c r="G28" s="95"/>
      <c r="H28" s="91"/>
      <c r="I28" s="105"/>
    </row>
    <row r="29" spans="1:11" x14ac:dyDescent="0.3">
      <c r="A29" s="91"/>
      <c r="B29" s="90"/>
      <c r="C29" s="91"/>
      <c r="D29" s="91"/>
      <c r="E29" s="91"/>
      <c r="F29" s="91"/>
      <c r="G29" s="95"/>
      <c r="H29" s="91"/>
      <c r="I29" s="105"/>
    </row>
    <row r="30" spans="1:11" x14ac:dyDescent="0.3">
      <c r="A30" s="91"/>
      <c r="B30" s="90"/>
      <c r="C30" s="91"/>
      <c r="D30" s="91"/>
      <c r="E30" s="91"/>
      <c r="F30" s="91"/>
      <c r="G30" s="95"/>
      <c r="H30" s="91"/>
      <c r="I30" s="105"/>
    </row>
    <row r="31" spans="1:11" x14ac:dyDescent="0.3">
      <c r="A31" s="91"/>
      <c r="B31" s="90"/>
      <c r="C31" s="91"/>
      <c r="D31" s="91"/>
      <c r="E31" s="91"/>
      <c r="F31" s="91"/>
      <c r="G31" s="95"/>
      <c r="H31" s="91"/>
      <c r="I31" s="105"/>
    </row>
    <row r="32" spans="1:11" x14ac:dyDescent="0.3">
      <c r="A32" s="91"/>
      <c r="B32" s="90"/>
      <c r="C32" s="91"/>
      <c r="D32" s="91"/>
      <c r="E32" s="91"/>
      <c r="F32" s="91"/>
      <c r="G32" s="95"/>
      <c r="H32" s="91"/>
      <c r="I32" s="105"/>
    </row>
    <row r="33" spans="1:9" x14ac:dyDescent="0.3">
      <c r="A33" s="91"/>
      <c r="B33" s="90"/>
      <c r="C33" s="91"/>
      <c r="D33" s="91"/>
      <c r="E33" s="91"/>
      <c r="F33" s="91"/>
      <c r="G33" s="95"/>
      <c r="H33" s="91"/>
      <c r="I33" s="105"/>
    </row>
    <row r="34" spans="1:9" x14ac:dyDescent="0.3">
      <c r="A34" s="91"/>
      <c r="B34" s="90"/>
      <c r="C34" s="91"/>
      <c r="D34" s="91"/>
      <c r="E34" s="91"/>
      <c r="F34" s="91"/>
      <c r="G34" s="95"/>
      <c r="H34" s="91"/>
      <c r="I34" s="105"/>
    </row>
    <row r="35" spans="1:9" x14ac:dyDescent="0.3">
      <c r="A35" s="91"/>
      <c r="B35" s="90"/>
      <c r="C35" s="91"/>
      <c r="D35" s="91"/>
      <c r="E35" s="91"/>
      <c r="F35" s="91"/>
      <c r="G35" s="95"/>
      <c r="H35" s="91"/>
      <c r="I35" s="105"/>
    </row>
    <row r="36" spans="1:9" x14ac:dyDescent="0.3">
      <c r="A36" s="91"/>
      <c r="B36" s="90"/>
      <c r="C36" s="91"/>
      <c r="D36" s="91"/>
      <c r="E36" s="91"/>
      <c r="F36" s="91"/>
      <c r="G36" s="95"/>
      <c r="H36" s="91"/>
      <c r="I36" s="105"/>
    </row>
    <row r="37" spans="1:9" ht="14.4" customHeight="1" x14ac:dyDescent="0.3">
      <c r="A37" s="91"/>
      <c r="B37" s="90"/>
      <c r="C37" s="91"/>
      <c r="D37" s="91"/>
      <c r="E37" s="91"/>
      <c r="F37" s="91"/>
      <c r="G37" s="95"/>
      <c r="H37" s="91"/>
      <c r="I37" s="105"/>
    </row>
    <row r="38" spans="1:9" ht="14.4" customHeight="1" x14ac:dyDescent="0.3">
      <c r="A38" s="91"/>
      <c r="B38" s="90"/>
      <c r="C38" s="91"/>
      <c r="D38" s="91"/>
      <c r="E38" s="91"/>
      <c r="F38" s="91"/>
      <c r="G38" s="95"/>
      <c r="H38" s="91"/>
      <c r="I38" s="105"/>
    </row>
  </sheetData>
  <mergeCells count="2">
    <mergeCell ref="A1:B1"/>
    <mergeCell ref="B2:I2"/>
  </mergeCells>
  <conditionalFormatting sqref="A14">
    <cfRule type="expression" dxfId="9" priority="9">
      <formula>$D$1=1</formula>
    </cfRule>
  </conditionalFormatting>
  <conditionalFormatting sqref="B14">
    <cfRule type="expression" dxfId="8" priority="8">
      <formula>$D$1=2</formula>
    </cfRule>
  </conditionalFormatting>
  <conditionalFormatting sqref="C14">
    <cfRule type="expression" dxfId="7" priority="7">
      <formula>$D$1=3</formula>
    </cfRule>
  </conditionalFormatting>
  <conditionalFormatting sqref="D14">
    <cfRule type="expression" dxfId="6" priority="6">
      <formula>$D$1=4</formula>
    </cfRule>
  </conditionalFormatting>
  <conditionalFormatting sqref="E14">
    <cfRule type="expression" dxfId="5" priority="5">
      <formula>$D$1=5</formula>
    </cfRule>
  </conditionalFormatting>
  <conditionalFormatting sqref="F14">
    <cfRule type="expression" dxfId="4" priority="4">
      <formula>$D$1=6</formula>
    </cfRule>
  </conditionalFormatting>
  <conditionalFormatting sqref="G14">
    <cfRule type="expression" dxfId="3" priority="3">
      <formula>$D$1=7</formula>
    </cfRule>
  </conditionalFormatting>
  <conditionalFormatting sqref="I14">
    <cfRule type="expression" dxfId="2" priority="1">
      <formula>$D$1=9</formula>
    </cfRule>
  </conditionalFormatting>
  <conditionalFormatting sqref="H14">
    <cfRule type="expression" dxfId="1" priority="2">
      <formula>$D$1=8</formula>
    </cfRule>
  </conditionalFormatting>
  <conditionalFormatting sqref="A14:K14">
    <cfRule type="expression" dxfId="0" priority="10">
      <formula>$D$1=0</formula>
    </cfRule>
  </conditionalFormatting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5146" r:id="rId4" name="TextBox1">
          <controlPr defaultSize="0" autoLine="0" linkedCell="C1" r:id="rId5">
            <anchor moveWithCells="1">
              <from>
                <xdr:col>3</xdr:col>
                <xdr:colOff>396240</xdr:colOff>
                <xdr:row>2</xdr:row>
                <xdr:rowOff>152400</xdr:rowOff>
              </from>
              <to>
                <xdr:col>5</xdr:col>
                <xdr:colOff>579120</xdr:colOff>
                <xdr:row>4</xdr:row>
                <xdr:rowOff>45720</xdr:rowOff>
              </to>
            </anchor>
          </controlPr>
        </control>
      </mc:Choice>
      <mc:Fallback>
        <control shapeId="5146" r:id="rId4" name="TextBox1"/>
      </mc:Fallback>
    </mc:AlternateContent>
    <mc:AlternateContent xmlns:mc="http://schemas.openxmlformats.org/markup-compatibility/2006">
      <mc:Choice Requires="x14">
        <control shapeId="5121" r:id="rId6" name="Button 1">
          <controlPr defaultSize="0" print="0" autoFill="0" autoPict="0" macro="[0]!SearchAll">
            <anchor moveWithCells="1">
              <from>
                <xdr:col>1</xdr:col>
                <xdr:colOff>1348740</xdr:colOff>
                <xdr:row>6</xdr:row>
                <xdr:rowOff>106680</xdr:rowOff>
              </from>
              <to>
                <xdr:col>3</xdr:col>
                <xdr:colOff>632460</xdr:colOff>
                <xdr:row>7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7" name="Button 3">
          <controlPr defaultSize="0" print="0" autoFill="0" autoPict="0" macro="[0]!SearchRef">
            <anchor moveWithCells="1">
              <from>
                <xdr:col>1</xdr:col>
                <xdr:colOff>160020</xdr:colOff>
                <xdr:row>9</xdr:row>
                <xdr:rowOff>0</xdr:rowOff>
              </from>
              <to>
                <xdr:col>1</xdr:col>
                <xdr:colOff>1036320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SearchDateLog">
            <anchor moveWithCells="1">
              <from>
                <xdr:col>1</xdr:col>
                <xdr:colOff>1203960</xdr:colOff>
                <xdr:row>9</xdr:row>
                <xdr:rowOff>0</xdr:rowOff>
              </from>
              <to>
                <xdr:col>2</xdr:col>
                <xdr:colOff>701040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9" name="Button 5">
          <controlPr defaultSize="0" print="0" autoFill="0" autoPict="0" macro="[0]!SearchSerialNumber">
            <anchor moveWithCells="1">
              <from>
                <xdr:col>1</xdr:col>
                <xdr:colOff>160020</xdr:colOff>
                <xdr:row>6</xdr:row>
                <xdr:rowOff>106680</xdr:rowOff>
              </from>
              <to>
                <xdr:col>1</xdr:col>
                <xdr:colOff>1203960</xdr:colOff>
                <xdr:row>7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0" name="Button 6">
          <controlPr defaultSize="0" print="0" autoFill="0" autoPict="0" macro="[0]!SearchEquipmentType">
            <anchor moveWithCells="1">
              <from>
                <xdr:col>7</xdr:col>
                <xdr:colOff>891540</xdr:colOff>
                <xdr:row>9</xdr:row>
                <xdr:rowOff>0</xdr:rowOff>
              </from>
              <to>
                <xdr:col>8</xdr:col>
                <xdr:colOff>731520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1" name="Button 7">
          <controlPr defaultSize="0" print="0" autoFill="0" autoPict="0" macro="[0]!SearchBrand">
            <anchor moveWithCells="1">
              <from>
                <xdr:col>5</xdr:col>
                <xdr:colOff>121920</xdr:colOff>
                <xdr:row>6</xdr:row>
                <xdr:rowOff>99060</xdr:rowOff>
              </from>
              <to>
                <xdr:col>5</xdr:col>
                <xdr:colOff>1165860</xdr:colOff>
                <xdr:row>7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2" name="Button 8">
          <controlPr defaultSize="0" print="0" autoFill="0" autoPict="0" macro="[0]!SearchLocation">
            <anchor moveWithCells="1">
              <from>
                <xdr:col>2</xdr:col>
                <xdr:colOff>876300</xdr:colOff>
                <xdr:row>9</xdr:row>
                <xdr:rowOff>0</xdr:rowOff>
              </from>
              <to>
                <xdr:col>3</xdr:col>
                <xdr:colOff>632460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3" name="Button 9">
          <controlPr defaultSize="0" print="0" autoFill="0" autoPict="0" macro="[0]!SearchPMMDate">
            <anchor moveWithCells="1">
              <from>
                <xdr:col>3</xdr:col>
                <xdr:colOff>754380</xdr:colOff>
                <xdr:row>9</xdr:row>
                <xdr:rowOff>0</xdr:rowOff>
              </from>
              <to>
                <xdr:col>4</xdr:col>
                <xdr:colOff>906780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4" name="Button 10">
          <controlPr defaultSize="0" print="0" autoFill="0" autoPict="0" macro="[0]!SearchPMMStatus">
            <anchor moveWithCells="1">
              <from>
                <xdr:col>4</xdr:col>
                <xdr:colOff>1051560</xdr:colOff>
                <xdr:row>9</xdr:row>
                <xdr:rowOff>0</xdr:rowOff>
              </from>
              <to>
                <xdr:col>5</xdr:col>
                <xdr:colOff>1082040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5" name="Button 11">
          <controlPr defaultSize="0" print="0" autoFill="0" autoPict="0" macro="[0]!SearchDescription">
            <anchor moveWithCells="1">
              <from>
                <xdr:col>6</xdr:col>
                <xdr:colOff>0</xdr:colOff>
                <xdr:row>9</xdr:row>
                <xdr:rowOff>0</xdr:rowOff>
              </from>
              <to>
                <xdr:col>7</xdr:col>
                <xdr:colOff>670560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16" name="Button 13">
          <controlPr defaultSize="0" print="0" autoFill="0" autoPict="0" macro="[0]!SearchPMMDate_Month">
            <anchor moveWithCells="1">
              <from>
                <xdr:col>3</xdr:col>
                <xdr:colOff>754380</xdr:colOff>
                <xdr:row>6</xdr:row>
                <xdr:rowOff>106680</xdr:rowOff>
              </from>
              <to>
                <xdr:col>5</xdr:col>
                <xdr:colOff>0</xdr:colOff>
                <xdr:row>7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7" r:id="rId17" name="Button 27">
          <controlPr defaultSize="0" print="0" autoFill="0" autoPict="0" macro="[0]!Sheet6.SearchPMMDateRange">
            <anchor moveWithCells="1">
              <from>
                <xdr:col>7</xdr:col>
                <xdr:colOff>266700</xdr:colOff>
                <xdr:row>6</xdr:row>
                <xdr:rowOff>91440</xdr:rowOff>
              </from>
              <to>
                <xdr:col>8</xdr:col>
                <xdr:colOff>731520</xdr:colOff>
                <xdr:row>7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8" r:id="rId18" name="Button 28">
          <controlPr defaultSize="0" print="0" autoFill="0" autoPict="0" macro="[0]!Sheet6.PDFEquipment">
            <anchor moveWithCells="1">
              <from>
                <xdr:col>9</xdr:col>
                <xdr:colOff>259080</xdr:colOff>
                <xdr:row>1</xdr:row>
                <xdr:rowOff>251460</xdr:rowOff>
              </from>
              <to>
                <xdr:col>10</xdr:col>
                <xdr:colOff>1120140</xdr:colOff>
                <xdr:row>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9" r:id="rId19" name="Button 29">
          <controlPr defaultSize="0" print="0" autoFill="0" autoPict="0" macro="[0]!Sheet6.PDFCurrent">
            <anchor moveWithCells="1">
              <from>
                <xdr:col>9</xdr:col>
                <xdr:colOff>266700</xdr:colOff>
                <xdr:row>6</xdr:row>
                <xdr:rowOff>15240</xdr:rowOff>
              </from>
              <to>
                <xdr:col>10</xdr:col>
                <xdr:colOff>1127760</xdr:colOff>
                <xdr:row>11</xdr:row>
                <xdr:rowOff>15240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C1A7-B08D-46A2-BA1B-BD909144F455}">
  <sheetPr codeName="Sheet9"/>
  <dimension ref="A1:B18"/>
  <sheetViews>
    <sheetView workbookViewId="0">
      <selection activeCell="E10" sqref="E10"/>
    </sheetView>
  </sheetViews>
  <sheetFormatPr defaultRowHeight="14.4" x14ac:dyDescent="0.3"/>
  <cols>
    <col min="1" max="1" width="18.88671875" customWidth="1"/>
    <col min="2" max="2" width="20.5546875" customWidth="1"/>
  </cols>
  <sheetData>
    <row r="1" spans="1:2" ht="28.8" x14ac:dyDescent="0.3">
      <c r="A1" s="147" t="s">
        <v>43</v>
      </c>
      <c r="B1" s="61" t="s">
        <v>15</v>
      </c>
    </row>
    <row r="2" spans="1:2" x14ac:dyDescent="0.3">
      <c r="A2" s="148" cm="1">
        <f t="array" ref="A2:A18">Equipment[REFERENCE NUMBER]</f>
        <v>1</v>
      </c>
      <c r="B2" t="str">
        <f>VLOOKUP(A2,Equipment[],6)</f>
        <v>Tower E rm 346</v>
      </c>
    </row>
    <row r="3" spans="1:2" x14ac:dyDescent="0.3">
      <c r="A3">
        <v>2</v>
      </c>
      <c r="B3" t="str">
        <f>VLOOKUP(A3,Equipment[],6)</f>
        <v>Tower D rm 347</v>
      </c>
    </row>
    <row r="4" spans="1:2" x14ac:dyDescent="0.3">
      <c r="A4">
        <v>3</v>
      </c>
      <c r="B4" t="str">
        <f>VLOOKUP(A4,Equipment[],6)</f>
        <v xml:space="preserve">ICU RM </v>
      </c>
    </row>
    <row r="5" spans="1:2" x14ac:dyDescent="0.3">
      <c r="A5">
        <v>4</v>
      </c>
      <c r="B5" t="str">
        <f>VLOOKUP(A5,Equipment[],6)</f>
        <v>Tower D rm 347</v>
      </c>
    </row>
    <row r="6" spans="1:2" x14ac:dyDescent="0.3">
      <c r="A6">
        <v>5</v>
      </c>
      <c r="B6" t="str">
        <f>VLOOKUP(A6,Equipment[],6)</f>
        <v>Tower D rm 356</v>
      </c>
    </row>
    <row r="7" spans="1:2" x14ac:dyDescent="0.3">
      <c r="A7">
        <v>6</v>
      </c>
      <c r="B7" t="str">
        <f>VLOOKUP(A7,Equipment[],6)</f>
        <v>Tower D rm 349</v>
      </c>
    </row>
    <row r="8" spans="1:2" x14ac:dyDescent="0.3">
      <c r="A8">
        <v>7</v>
      </c>
      <c r="B8" t="str">
        <f>VLOOKUP(A8,Equipment[],6)</f>
        <v>Tower D rm 345</v>
      </c>
    </row>
    <row r="9" spans="1:2" x14ac:dyDescent="0.3">
      <c r="A9">
        <v>8</v>
      </c>
      <c r="B9" t="str">
        <f>VLOOKUP(A9,Equipment[],6)</f>
        <v>Tower E rm 346</v>
      </c>
    </row>
    <row r="10" spans="1:2" x14ac:dyDescent="0.3">
      <c r="A10">
        <v>9</v>
      </c>
      <c r="B10" t="str">
        <f>VLOOKUP(A10,Equipment[],6)</f>
        <v>Tower D rm 347</v>
      </c>
    </row>
    <row r="11" spans="1:2" x14ac:dyDescent="0.3">
      <c r="A11">
        <v>10</v>
      </c>
      <c r="B11" t="str">
        <f>VLOOKUP(A11,Equipment[],6)</f>
        <v>Tower D rm 347</v>
      </c>
    </row>
    <row r="12" spans="1:2" x14ac:dyDescent="0.3">
      <c r="A12">
        <v>11</v>
      </c>
      <c r="B12" t="str">
        <f>VLOOKUP(A12,Equipment[],6)</f>
        <v>Tower D rm 353</v>
      </c>
    </row>
    <row r="13" spans="1:2" x14ac:dyDescent="0.3">
      <c r="A13">
        <v>12</v>
      </c>
      <c r="B13" t="str">
        <f>VLOOKUP(A13,Equipment[],6)</f>
        <v>Tower E rm 346</v>
      </c>
    </row>
    <row r="14" spans="1:2" x14ac:dyDescent="0.3">
      <c r="A14">
        <v>15</v>
      </c>
      <c r="B14" t="str">
        <f>VLOOKUP(A14,Equipment[],6)</f>
        <v>Tower E rm 346</v>
      </c>
    </row>
    <row r="15" spans="1:2" x14ac:dyDescent="0.3">
      <c r="A15">
        <v>16</v>
      </c>
      <c r="B15" t="str">
        <f>VLOOKUP(A15,Equipment[],6)</f>
        <v>Tower E rm 346</v>
      </c>
    </row>
    <row r="16" spans="1:2" x14ac:dyDescent="0.3">
      <c r="A16">
        <v>17</v>
      </c>
      <c r="B16" t="str">
        <f>VLOOKUP(A16,Equipment[],6)</f>
        <v>Tower E rm 346</v>
      </c>
    </row>
    <row r="17" spans="1:1" x14ac:dyDescent="0.3">
      <c r="A17">
        <v>0</v>
      </c>
    </row>
    <row r="18" spans="1:1" x14ac:dyDescent="0.3">
      <c r="A18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22A50-6125-420D-A29E-827B0C9911F1}">
  <sheetPr codeName="Sheet1">
    <tabColor rgb="FFFF0000"/>
  </sheetPr>
  <dimension ref="A1:I32"/>
  <sheetViews>
    <sheetView showGridLines="0" zoomScaleNormal="100" workbookViewId="0">
      <selection activeCell="B2" sqref="B2:G2"/>
    </sheetView>
  </sheetViews>
  <sheetFormatPr defaultColWidth="0" defaultRowHeight="14.4" zeroHeight="1" x14ac:dyDescent="0.3"/>
  <cols>
    <col min="1" max="1" width="17.77734375" customWidth="1"/>
    <col min="2" max="2" width="23.109375" bestFit="1" customWidth="1"/>
    <col min="3" max="3" width="18.77734375" customWidth="1"/>
    <col min="4" max="4" width="8.21875" customWidth="1"/>
    <col min="5" max="5" width="17.88671875" bestFit="1" customWidth="1"/>
    <col min="6" max="6" width="18.77734375" customWidth="1"/>
    <col min="7" max="7" width="2.77734375" customWidth="1"/>
    <col min="8" max="8" width="19.109375" customWidth="1"/>
    <col min="9" max="9" width="8.88671875" customWidth="1"/>
    <col min="10" max="16384" width="8.88671875" hidden="1"/>
  </cols>
  <sheetData>
    <row r="1" spans="1:9" ht="27" customHeight="1" x14ac:dyDescent="0.3"/>
    <row r="2" spans="1:9" ht="31.8" customHeight="1" x14ac:dyDescent="0.6">
      <c r="B2" s="171" t="s">
        <v>0</v>
      </c>
      <c r="C2" s="172"/>
      <c r="D2" s="172"/>
      <c r="E2" s="172"/>
      <c r="F2" s="172"/>
      <c r="G2" s="173"/>
    </row>
    <row r="3" spans="1:9" x14ac:dyDescent="0.3">
      <c r="B3" s="4"/>
      <c r="C3" s="5"/>
      <c r="D3" s="5"/>
      <c r="E3" s="168">
        <f ca="1">NOW()</f>
        <v>45717.895770717594</v>
      </c>
      <c r="F3" s="168"/>
      <c r="G3" s="1"/>
    </row>
    <row r="4" spans="1:9" x14ac:dyDescent="0.3">
      <c r="B4" s="12" t="s">
        <v>7</v>
      </c>
      <c r="C4" s="55">
        <f>IFERROR(LOOKUP(2,1/('EQUIPMENT MONITORING DATA'!A$1:A$18&lt;&gt;""),'EQUIPMENT MONITORING DATA'!A$1:A$18) +1,1)</f>
        <v>18</v>
      </c>
      <c r="D4" s="5"/>
      <c r="E4" s="168"/>
      <c r="F4" s="168"/>
      <c r="G4" s="1"/>
    </row>
    <row r="5" spans="1:9" ht="8.4" customHeight="1" x14ac:dyDescent="0.3">
      <c r="B5" s="4"/>
      <c r="C5" s="5"/>
      <c r="D5" s="5"/>
      <c r="E5" s="168"/>
      <c r="F5" s="168"/>
      <c r="G5" s="1"/>
    </row>
    <row r="6" spans="1:9" ht="15" customHeight="1" x14ac:dyDescent="0.3">
      <c r="B6" s="6" t="s">
        <v>3</v>
      </c>
      <c r="C6" s="14"/>
      <c r="D6" s="5"/>
      <c r="E6" s="7" t="s">
        <v>6</v>
      </c>
      <c r="F6" s="15"/>
      <c r="G6" s="1"/>
    </row>
    <row r="7" spans="1:9" ht="6" customHeight="1" x14ac:dyDescent="0.3">
      <c r="B7" s="8"/>
      <c r="C7" s="5"/>
      <c r="D7" s="5"/>
      <c r="E7" s="9"/>
      <c r="F7" s="5"/>
      <c r="G7" s="1"/>
    </row>
    <row r="8" spans="1:9" ht="15" customHeight="1" x14ac:dyDescent="0.3">
      <c r="B8" s="6" t="s">
        <v>2</v>
      </c>
      <c r="C8" s="15"/>
      <c r="D8" s="5"/>
      <c r="E8" s="7" t="s">
        <v>5</v>
      </c>
      <c r="F8" s="15"/>
      <c r="G8" s="1"/>
    </row>
    <row r="9" spans="1:9" ht="6" customHeight="1" x14ac:dyDescent="0.3">
      <c r="B9" s="8"/>
      <c r="C9" s="5"/>
      <c r="D9" s="5"/>
      <c r="E9" s="9"/>
      <c r="F9" s="5"/>
      <c r="G9" s="1"/>
    </row>
    <row r="10" spans="1:9" x14ac:dyDescent="0.3">
      <c r="B10" s="6" t="s">
        <v>18</v>
      </c>
      <c r="C10" s="15"/>
      <c r="D10" s="5"/>
      <c r="E10" s="7" t="s">
        <v>8</v>
      </c>
      <c r="F10" s="15"/>
      <c r="G10" s="1"/>
    </row>
    <row r="11" spans="1:9" ht="6" customHeight="1" x14ac:dyDescent="0.3">
      <c r="B11" s="8"/>
      <c r="C11" s="5"/>
      <c r="D11" s="5"/>
      <c r="E11" s="9"/>
      <c r="F11" s="5"/>
      <c r="G11" s="1"/>
    </row>
    <row r="12" spans="1:9" x14ac:dyDescent="0.3">
      <c r="B12" s="6" t="s">
        <v>4</v>
      </c>
      <c r="C12" s="15"/>
      <c r="D12" s="5"/>
      <c r="E12" s="7"/>
      <c r="F12" s="7"/>
      <c r="G12" s="1"/>
    </row>
    <row r="13" spans="1:9" x14ac:dyDescent="0.3">
      <c r="B13" s="4"/>
      <c r="C13" s="5"/>
      <c r="D13" s="5"/>
      <c r="E13" s="5"/>
      <c r="F13" s="5"/>
      <c r="G13" s="1"/>
    </row>
    <row r="14" spans="1:9" x14ac:dyDescent="0.3">
      <c r="B14" s="4"/>
      <c r="C14" s="5"/>
      <c r="D14" s="5"/>
      <c r="E14" s="5"/>
      <c r="F14" s="5"/>
      <c r="G14" s="1"/>
    </row>
    <row r="15" spans="1:9" x14ac:dyDescent="0.3">
      <c r="B15" s="10"/>
      <c r="C15" s="11"/>
      <c r="D15" s="11"/>
      <c r="E15" s="11"/>
      <c r="F15" s="11"/>
      <c r="G15" s="2"/>
    </row>
    <row r="16" spans="1:9" x14ac:dyDescent="0.3">
      <c r="A16" s="19"/>
      <c r="B16" s="19"/>
      <c r="C16" s="19"/>
      <c r="D16" s="19"/>
      <c r="E16" s="19"/>
      <c r="F16" s="19"/>
      <c r="G16" s="19"/>
      <c r="H16" s="19"/>
      <c r="I16" s="19"/>
    </row>
    <row r="17" spans="1:9" hidden="1" x14ac:dyDescent="0.3">
      <c r="A17" s="19"/>
      <c r="B17" s="19"/>
      <c r="C17" s="19"/>
      <c r="D17" s="19"/>
      <c r="E17" s="19"/>
      <c r="F17" s="19"/>
      <c r="G17" s="19"/>
      <c r="H17" s="19"/>
      <c r="I17" s="19"/>
    </row>
    <row r="18" spans="1:9" s="16" customFormat="1" hidden="1" x14ac:dyDescent="0.3">
      <c r="A18" s="17"/>
      <c r="B18" s="17"/>
      <c r="C18" s="17" t="s">
        <v>7</v>
      </c>
      <c r="D18" s="17">
        <f>C4</f>
        <v>18</v>
      </c>
      <c r="E18" s="17"/>
      <c r="F18" s="17"/>
      <c r="G18" s="17"/>
      <c r="H18" s="17"/>
      <c r="I18" s="17"/>
    </row>
    <row r="19" spans="1:9" s="16" customFormat="1" hidden="1" x14ac:dyDescent="0.3">
      <c r="A19" s="17"/>
      <c r="B19" s="17"/>
      <c r="C19" s="17" t="s">
        <v>9</v>
      </c>
      <c r="D19" s="18">
        <f ca="1">E3</f>
        <v>45717.895770717594</v>
      </c>
      <c r="E19" s="17"/>
      <c r="F19" s="17"/>
      <c r="G19" s="17"/>
      <c r="H19" s="17"/>
      <c r="I19" s="17"/>
    </row>
    <row r="20" spans="1:9" s="16" customFormat="1" hidden="1" x14ac:dyDescent="0.3">
      <c r="A20" s="17"/>
      <c r="B20" s="17"/>
      <c r="C20" s="17" t="s">
        <v>1</v>
      </c>
      <c r="D20" s="17">
        <f>C6</f>
        <v>0</v>
      </c>
      <c r="E20" s="17"/>
      <c r="F20" s="17"/>
      <c r="G20" s="17"/>
      <c r="H20" s="17"/>
      <c r="I20" s="17"/>
    </row>
    <row r="21" spans="1:9" s="16" customFormat="1" hidden="1" x14ac:dyDescent="0.3">
      <c r="A21" s="17"/>
      <c r="B21" s="17"/>
      <c r="C21" s="17" t="s">
        <v>10</v>
      </c>
      <c r="D21" s="17">
        <f>F6</f>
        <v>0</v>
      </c>
      <c r="E21" s="17"/>
      <c r="F21" s="17"/>
      <c r="G21" s="17"/>
      <c r="H21" s="17"/>
      <c r="I21" s="17"/>
    </row>
    <row r="22" spans="1:9" s="16" customFormat="1" hidden="1" x14ac:dyDescent="0.3">
      <c r="A22" s="17"/>
      <c r="B22" s="17"/>
      <c r="C22" s="17" t="s">
        <v>11</v>
      </c>
      <c r="D22" s="17">
        <f>C8</f>
        <v>0</v>
      </c>
      <c r="E22" s="17"/>
      <c r="F22" s="17"/>
      <c r="G22" s="17"/>
      <c r="H22" s="17"/>
      <c r="I22" s="17"/>
    </row>
    <row r="23" spans="1:9" s="16" customFormat="1" hidden="1" x14ac:dyDescent="0.3">
      <c r="A23" s="17"/>
      <c r="B23" s="17"/>
      <c r="C23" s="17" t="s">
        <v>12</v>
      </c>
      <c r="D23" s="17">
        <f>F8</f>
        <v>0</v>
      </c>
      <c r="E23" s="17"/>
      <c r="F23" s="17"/>
      <c r="G23" s="17"/>
      <c r="H23" s="17"/>
      <c r="I23" s="17"/>
    </row>
    <row r="24" spans="1:9" s="16" customFormat="1" hidden="1" x14ac:dyDescent="0.3">
      <c r="A24" s="17"/>
      <c r="B24" s="17"/>
      <c r="C24" s="17" t="s">
        <v>13</v>
      </c>
      <c r="D24" s="17">
        <f>F10</f>
        <v>0</v>
      </c>
      <c r="E24" s="17"/>
      <c r="F24" s="17"/>
      <c r="G24" s="17"/>
      <c r="H24" s="17"/>
      <c r="I24" s="17"/>
    </row>
    <row r="25" spans="1:9" s="16" customFormat="1" hidden="1" x14ac:dyDescent="0.3">
      <c r="A25" s="17"/>
      <c r="B25" s="17"/>
      <c r="C25" s="17" t="s">
        <v>14</v>
      </c>
      <c r="D25" s="17">
        <f>C10</f>
        <v>0</v>
      </c>
      <c r="E25" s="17"/>
      <c r="F25" s="17"/>
      <c r="G25" s="17"/>
      <c r="H25" s="17"/>
      <c r="I25" s="17"/>
    </row>
    <row r="26" spans="1:9" s="16" customFormat="1" hidden="1" x14ac:dyDescent="0.3">
      <c r="A26" s="17"/>
      <c r="B26" s="17"/>
      <c r="C26" s="17" t="s">
        <v>15</v>
      </c>
      <c r="D26" s="17">
        <f>C12</f>
        <v>0</v>
      </c>
      <c r="E26" s="17"/>
      <c r="F26" s="17"/>
      <c r="G26" s="17"/>
      <c r="H26" s="17"/>
      <c r="I26" s="17"/>
    </row>
    <row r="27" spans="1:9" s="16" customFormat="1" hidden="1" x14ac:dyDescent="0.3">
      <c r="A27" s="17"/>
      <c r="B27" s="17"/>
      <c r="C27" s="17"/>
      <c r="D27" s="17"/>
      <c r="E27" s="17"/>
      <c r="F27" s="17"/>
      <c r="G27" s="17"/>
      <c r="H27" s="17"/>
      <c r="I27" s="17"/>
    </row>
    <row r="28" spans="1:9" s="16" customFormat="1" hidden="1" x14ac:dyDescent="0.3">
      <c r="A28" s="17"/>
      <c r="B28" s="17"/>
      <c r="C28" s="17"/>
      <c r="D28" s="17"/>
      <c r="E28" s="17"/>
      <c r="F28" s="17"/>
      <c r="G28" s="17"/>
      <c r="H28" s="17"/>
      <c r="I28" s="17"/>
    </row>
    <row r="29" spans="1:9" s="16" customFormat="1" hidden="1" x14ac:dyDescent="0.3">
      <c r="A29" s="17">
        <v>1</v>
      </c>
      <c r="B29" s="18">
        <v>45626.692179976853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</row>
    <row r="30" spans="1:9" hidden="1" x14ac:dyDescent="0.3">
      <c r="A30" s="19"/>
      <c r="B30" s="19"/>
      <c r="C30" s="19"/>
      <c r="D30" s="19"/>
      <c r="E30" s="19"/>
      <c r="F30" s="19"/>
      <c r="G30" s="19"/>
      <c r="H30" s="19"/>
      <c r="I30" s="19"/>
    </row>
    <row r="31" spans="1:9" hidden="1" x14ac:dyDescent="0.3">
      <c r="A31" s="19"/>
      <c r="B31" s="19"/>
      <c r="C31" s="19"/>
      <c r="D31" s="19"/>
      <c r="E31" s="19"/>
      <c r="F31" s="19"/>
      <c r="G31" s="19"/>
      <c r="H31" s="19"/>
      <c r="I31" s="19"/>
    </row>
    <row r="32" spans="1:9" hidden="1" x14ac:dyDescent="0.3">
      <c r="A32" s="19"/>
      <c r="B32" s="19"/>
      <c r="C32" s="19"/>
      <c r="D32" s="19"/>
      <c r="E32" s="19"/>
      <c r="F32" s="19"/>
      <c r="G32" s="19"/>
      <c r="H32" s="19"/>
      <c r="I32" s="19"/>
    </row>
  </sheetData>
  <mergeCells count="2">
    <mergeCell ref="B2:G2"/>
    <mergeCell ref="E3:F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gForm2">
                <anchor moveWithCells="1" sizeWithCells="1">
                  <from>
                    <xdr:col>1</xdr:col>
                    <xdr:colOff>739140</xdr:colOff>
                    <xdr:row>12</xdr:row>
                    <xdr:rowOff>167640</xdr:rowOff>
                  </from>
                  <to>
                    <xdr:col>2</xdr:col>
                    <xdr:colOff>1127760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4</xdr:col>
                    <xdr:colOff>342900</xdr:colOff>
                    <xdr:row>12</xdr:row>
                    <xdr:rowOff>167640</xdr:rowOff>
                  </from>
                  <to>
                    <xdr:col>5</xdr:col>
                    <xdr:colOff>944880</xdr:colOff>
                    <xdr:row>14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E95B-E3CC-497D-AD85-1E6F3BA53E22}">
  <sheetPr codeName="Sheet8"/>
  <dimension ref="A1:D24"/>
  <sheetViews>
    <sheetView workbookViewId="0">
      <selection activeCell="B24" sqref="B24"/>
    </sheetView>
  </sheetViews>
  <sheetFormatPr defaultRowHeight="14.4" x14ac:dyDescent="0.3"/>
  <cols>
    <col min="1" max="1" width="27.21875" bestFit="1" customWidth="1"/>
    <col min="3" max="3" width="15.6640625" bestFit="1" customWidth="1"/>
    <col min="4" max="4" width="10.5546875" bestFit="1" customWidth="1"/>
  </cols>
  <sheetData>
    <row r="1" spans="1:4" x14ac:dyDescent="0.3">
      <c r="A1" s="179" t="s">
        <v>49</v>
      </c>
      <c r="B1" s="179"/>
      <c r="C1" s="98">
        <f ca="1">NOW()</f>
        <v>45717.895770717594</v>
      </c>
      <c r="D1" s="99">
        <f ca="1">TODAY()</f>
        <v>45717</v>
      </c>
    </row>
    <row r="2" spans="1:4" x14ac:dyDescent="0.3">
      <c r="A2" s="69" t="s">
        <v>3</v>
      </c>
      <c r="B2" s="70">
        <f>_xlfn.XLOOKUP(J4,Equipment[REFERENCE NUMBER],Equipment[SERIAL NUMBER])</f>
        <v>0</v>
      </c>
    </row>
    <row r="3" spans="1:4" x14ac:dyDescent="0.3">
      <c r="A3" s="69" t="s">
        <v>5</v>
      </c>
      <c r="B3" s="70">
        <f>_xlfn.XLOOKUP(J4,Equipment[REFERENCE NUMBER],Equipment[EQUIPMENT TYPE])</f>
        <v>0</v>
      </c>
    </row>
    <row r="4" spans="1:4" x14ac:dyDescent="0.3">
      <c r="A4" s="69" t="s">
        <v>35</v>
      </c>
      <c r="B4" s="70">
        <f>_xlfn.XLOOKUP(J4,Equipment[REFERENCE NUMBER],Equipment[BRAND])</f>
        <v>0</v>
      </c>
    </row>
    <row r="5" spans="1:4" x14ac:dyDescent="0.3">
      <c r="A5" s="69" t="s">
        <v>4</v>
      </c>
      <c r="B5" s="70">
        <f>_xlfn.XLOOKUP(J4,Equipment[REFERENCE NUMBER],Equipment[LOCATION])</f>
        <v>0</v>
      </c>
    </row>
    <row r="6" spans="1:4" x14ac:dyDescent="0.3">
      <c r="A6" s="69" t="s">
        <v>36</v>
      </c>
      <c r="B6" s="70">
        <f>_xlfn.XLOOKUP(J4,Equipment[REFERENCE NUMBER],Equipment[PMM DATE])</f>
        <v>0</v>
      </c>
    </row>
    <row r="7" spans="1:4" x14ac:dyDescent="0.3">
      <c r="A7" s="69" t="s">
        <v>8</v>
      </c>
      <c r="B7" s="70">
        <f>_xlfn.XLOOKUP(J4,Equipment[REFERENCE NUMBER],Equipment[PMM STATUS])</f>
        <v>0</v>
      </c>
    </row>
    <row r="8" spans="1:4" x14ac:dyDescent="0.3">
      <c r="A8" s="174" t="s">
        <v>48</v>
      </c>
      <c r="B8" s="176">
        <f>_xlfn.XLOOKUP(J4,Equipment[REFERENCE NUMBER],Equipment[DESCRIPTION])</f>
        <v>0</v>
      </c>
    </row>
    <row r="9" spans="1:4" x14ac:dyDescent="0.3">
      <c r="A9" s="174"/>
      <c r="B9" s="177"/>
    </row>
    <row r="10" spans="1:4" x14ac:dyDescent="0.3">
      <c r="A10" s="174"/>
      <c r="B10" s="178"/>
    </row>
    <row r="11" spans="1:4" x14ac:dyDescent="0.3">
      <c r="A11" s="175" t="s">
        <v>38</v>
      </c>
      <c r="B11" s="176">
        <f>_xlfn.XLOOKUP(J4,Equipment[REFERENCE NUMBER],Equipment[MAINTENANCE HISTORY])</f>
        <v>0</v>
      </c>
    </row>
    <row r="12" spans="1:4" x14ac:dyDescent="0.3">
      <c r="A12" s="175"/>
      <c r="B12" s="177"/>
    </row>
    <row r="13" spans="1:4" x14ac:dyDescent="0.3">
      <c r="A13" s="175"/>
      <c r="B13" s="178"/>
    </row>
    <row r="15" spans="1:4" x14ac:dyDescent="0.3">
      <c r="A15" t="s">
        <v>52</v>
      </c>
      <c r="B15" s="83" t="s">
        <v>58</v>
      </c>
    </row>
    <row r="16" spans="1:4" x14ac:dyDescent="0.3">
      <c r="A16" t="s">
        <v>55</v>
      </c>
      <c r="B16" s="83" t="s">
        <v>59</v>
      </c>
    </row>
    <row r="17" spans="1:2" x14ac:dyDescent="0.3">
      <c r="A17" t="s">
        <v>56</v>
      </c>
      <c r="B17" s="83" t="s">
        <v>58</v>
      </c>
    </row>
    <row r="18" spans="1:2" x14ac:dyDescent="0.3">
      <c r="A18" t="s">
        <v>57</v>
      </c>
      <c r="B18" s="83" t="s">
        <v>60</v>
      </c>
    </row>
    <row r="19" spans="1:2" x14ac:dyDescent="0.3">
      <c r="A19" t="s">
        <v>62</v>
      </c>
      <c r="B19" s="83" t="s">
        <v>63</v>
      </c>
    </row>
    <row r="20" spans="1:2" x14ac:dyDescent="0.3">
      <c r="A20" t="s">
        <v>77</v>
      </c>
      <c r="B20" s="83" t="s">
        <v>78</v>
      </c>
    </row>
    <row r="21" spans="1:2" x14ac:dyDescent="0.3">
      <c r="A21" t="s">
        <v>73</v>
      </c>
      <c r="B21" s="83" t="s">
        <v>74</v>
      </c>
    </row>
    <row r="24" spans="1:2" x14ac:dyDescent="0.3">
      <c r="B24" s="83" t="s">
        <v>59</v>
      </c>
    </row>
  </sheetData>
  <mergeCells count="5">
    <mergeCell ref="A8:A10"/>
    <mergeCell ref="A11:A13"/>
    <mergeCell ref="B8:B10"/>
    <mergeCell ref="B11:B13"/>
    <mergeCell ref="A1:B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228B0-C26D-440E-9231-6A3E89B7AB40}">
  <sheetPr codeName="Sheet5"/>
  <dimension ref="A1:XFC38"/>
  <sheetViews>
    <sheetView showGridLines="0" zoomScaleNormal="100" workbookViewId="0">
      <selection activeCell="C4" sqref="C4"/>
    </sheetView>
  </sheetViews>
  <sheetFormatPr defaultColWidth="0" defaultRowHeight="14.4" customHeight="1" x14ac:dyDescent="0.3"/>
  <cols>
    <col min="1" max="1" width="17.77734375" customWidth="1"/>
    <col min="2" max="2" width="22.5546875" bestFit="1" customWidth="1"/>
    <col min="3" max="3" width="18.77734375" customWidth="1"/>
    <col min="4" max="4" width="8.21875" customWidth="1"/>
    <col min="5" max="5" width="17.88671875" bestFit="1" customWidth="1"/>
    <col min="6" max="6" width="18.77734375" customWidth="1"/>
    <col min="7" max="7" width="11.21875" customWidth="1"/>
    <col min="8" max="8" width="19.109375" customWidth="1"/>
    <col min="9" max="9" width="11.109375" customWidth="1"/>
    <col min="10" max="16383" width="8.88671875" hidden="1"/>
    <col min="16384" max="16384" width="5.5546875" customWidth="1"/>
  </cols>
  <sheetData>
    <row r="1" spans="1:9" ht="27" customHeight="1" x14ac:dyDescent="0.3"/>
    <row r="2" spans="1:9" ht="31.8" customHeight="1" x14ac:dyDescent="0.6">
      <c r="B2" s="171" t="s">
        <v>0</v>
      </c>
      <c r="C2" s="172"/>
      <c r="D2" s="172"/>
      <c r="E2" s="172"/>
      <c r="F2" s="172"/>
      <c r="G2" s="173"/>
    </row>
    <row r="3" spans="1:9" x14ac:dyDescent="0.3">
      <c r="B3" s="4"/>
      <c r="C3" s="5"/>
      <c r="D3" s="5"/>
      <c r="E3" s="168">
        <f ca="1">NOW()</f>
        <v>45717.895770717594</v>
      </c>
      <c r="F3" s="168"/>
      <c r="G3" s="1"/>
    </row>
    <row r="4" spans="1:9" x14ac:dyDescent="0.3">
      <c r="B4" s="12" t="s">
        <v>16</v>
      </c>
      <c r="C4" s="13" t="s">
        <v>9</v>
      </c>
      <c r="D4" s="5"/>
      <c r="E4" s="168"/>
      <c r="F4" s="168"/>
      <c r="G4" s="1"/>
    </row>
    <row r="5" spans="1:9" ht="8.4" customHeight="1" x14ac:dyDescent="0.3">
      <c r="B5" s="4"/>
      <c r="C5" s="5"/>
      <c r="D5" s="5"/>
      <c r="E5" s="168"/>
      <c r="F5" s="168"/>
      <c r="G5" s="1"/>
    </row>
    <row r="6" spans="1:9" ht="15" customHeight="1" x14ac:dyDescent="0.3">
      <c r="B6" s="6" t="str">
        <f>C4</f>
        <v>DATE</v>
      </c>
      <c r="C6" s="14">
        <v>1</v>
      </c>
      <c r="D6" s="5"/>
      <c r="E6" s="5"/>
      <c r="F6" s="5"/>
      <c r="G6" s="1"/>
    </row>
    <row r="7" spans="1:9" ht="6" customHeight="1" x14ac:dyDescent="0.3">
      <c r="B7" s="8"/>
      <c r="C7" s="5"/>
      <c r="D7" s="5"/>
      <c r="E7" s="5"/>
      <c r="F7" s="5"/>
      <c r="G7" s="1"/>
    </row>
    <row r="8" spans="1:9" ht="15" customHeight="1" x14ac:dyDescent="0.3">
      <c r="A8" s="4"/>
      <c r="B8" s="21"/>
      <c r="C8" s="5"/>
      <c r="D8" s="5"/>
      <c r="E8" s="5"/>
      <c r="F8" s="5"/>
      <c r="G8" s="1"/>
    </row>
    <row r="9" spans="1:9" ht="6" customHeight="1" x14ac:dyDescent="0.3">
      <c r="A9" s="4"/>
      <c r="B9" s="21"/>
      <c r="C9" s="5"/>
      <c r="D9" s="5"/>
      <c r="E9" s="5"/>
      <c r="F9" s="5"/>
      <c r="G9" s="1"/>
    </row>
    <row r="10" spans="1:9" x14ac:dyDescent="0.3">
      <c r="A10" s="4"/>
      <c r="B10" s="21"/>
      <c r="C10" s="5"/>
      <c r="D10" s="5"/>
      <c r="E10" s="5"/>
      <c r="F10" s="5"/>
      <c r="G10" s="1"/>
    </row>
    <row r="11" spans="1:9" ht="6" customHeight="1" x14ac:dyDescent="0.3">
      <c r="A11" s="4"/>
      <c r="B11" s="21"/>
      <c r="C11" s="5"/>
      <c r="D11" s="5"/>
      <c r="E11" s="5"/>
      <c r="F11" s="5"/>
      <c r="G11" s="1"/>
    </row>
    <row r="12" spans="1:9" x14ac:dyDescent="0.3">
      <c r="B12" s="10"/>
      <c r="C12" s="11"/>
      <c r="D12" s="11"/>
      <c r="E12" s="11"/>
      <c r="F12" s="11"/>
      <c r="G12" s="2"/>
    </row>
    <row r="13" spans="1:9" x14ac:dyDescent="0.3">
      <c r="A13" s="19"/>
      <c r="B13" s="19"/>
      <c r="C13" s="19"/>
      <c r="D13" s="19"/>
      <c r="E13" s="19"/>
      <c r="F13" s="19"/>
      <c r="G13" s="19"/>
      <c r="H13" s="19"/>
      <c r="I13" s="19"/>
    </row>
    <row r="14" spans="1:9" ht="27" customHeight="1" x14ac:dyDescent="0.3">
      <c r="A14" s="22" t="s">
        <v>7</v>
      </c>
      <c r="B14" s="23" t="s">
        <v>9</v>
      </c>
      <c r="C14" s="23" t="s">
        <v>1</v>
      </c>
      <c r="D14" s="23" t="s">
        <v>10</v>
      </c>
      <c r="E14" s="23" t="s">
        <v>11</v>
      </c>
      <c r="F14" s="23" t="s">
        <v>12</v>
      </c>
      <c r="G14" s="23" t="s">
        <v>13</v>
      </c>
      <c r="H14" s="23" t="s">
        <v>14</v>
      </c>
      <c r="I14" s="24" t="s">
        <v>15</v>
      </c>
    </row>
    <row r="15" spans="1:9" s="16" customFormat="1" x14ac:dyDescent="0.3">
      <c r="A15" s="19" cm="1">
        <f t="array" ref="A15:I15">IFERROR(_xlfn._xlws.FILTER('EQUIPMENT MONITORING DATA'!A$1:I$18,'EQUIPMENT MONITORING DATA'!A$1:A$18='FORM SEARCH'!C6),"NONE")</f>
        <v>1</v>
      </c>
      <c r="B15" s="20">
        <v>45626.86626909722</v>
      </c>
      <c r="C15" s="19">
        <v>123123</v>
      </c>
      <c r="D15" s="19" t="str">
        <v>adsads</v>
      </c>
      <c r="E15" s="19" t="str">
        <v>asdafdsf</v>
      </c>
      <c r="F15" s="19" t="str">
        <v>Tower E rm 346</v>
      </c>
      <c r="G15" s="19">
        <v>45597</v>
      </c>
      <c r="H15" s="19" t="str">
        <v>DUE</v>
      </c>
      <c r="I15" s="19">
        <v>0</v>
      </c>
    </row>
    <row r="16" spans="1:9" s="16" customFormat="1" x14ac:dyDescent="0.3">
      <c r="A16" s="19"/>
      <c r="B16" s="20"/>
      <c r="C16" s="19"/>
      <c r="D16" s="19"/>
      <c r="E16" s="19"/>
      <c r="F16" s="19"/>
      <c r="G16" s="19"/>
      <c r="H16" s="19"/>
      <c r="I16" s="19"/>
    </row>
    <row r="17" spans="1:9" s="16" customFormat="1" x14ac:dyDescent="0.3">
      <c r="A17" s="19"/>
      <c r="B17" s="20"/>
      <c r="C17" s="19"/>
      <c r="D17" s="19"/>
      <c r="E17" s="19"/>
      <c r="F17" s="19"/>
      <c r="G17" s="19"/>
      <c r="H17" s="19"/>
      <c r="I17" s="19"/>
    </row>
    <row r="18" spans="1:9" s="16" customFormat="1" x14ac:dyDescent="0.3">
      <c r="A18" s="19"/>
      <c r="B18" s="20"/>
      <c r="C18" s="19"/>
      <c r="D18" s="19"/>
      <c r="E18" s="19"/>
      <c r="F18" s="19"/>
      <c r="G18" s="19"/>
      <c r="H18" s="19"/>
      <c r="I18" s="19"/>
    </row>
    <row r="19" spans="1:9" s="16" customFormat="1" x14ac:dyDescent="0.3">
      <c r="A19" s="19"/>
      <c r="B19" s="20"/>
      <c r="C19" s="19"/>
      <c r="D19" s="19"/>
      <c r="E19" s="19"/>
      <c r="F19" s="19"/>
      <c r="G19" s="19"/>
      <c r="H19" s="19"/>
      <c r="I19" s="19"/>
    </row>
    <row r="20" spans="1:9" s="16" customFormat="1" x14ac:dyDescent="0.3">
      <c r="A20" s="19"/>
      <c r="B20" s="20"/>
      <c r="C20" s="19"/>
      <c r="D20" s="19"/>
      <c r="E20" s="19"/>
      <c r="F20" s="19"/>
      <c r="G20" s="19"/>
      <c r="H20" s="19"/>
      <c r="I20" s="19"/>
    </row>
    <row r="21" spans="1:9" s="16" customFormat="1" x14ac:dyDescent="0.3">
      <c r="A21" s="19"/>
      <c r="B21" s="20"/>
      <c r="C21" s="19"/>
      <c r="D21" s="19"/>
      <c r="E21" s="19"/>
      <c r="F21" s="19"/>
      <c r="G21" s="19"/>
      <c r="H21" s="19"/>
      <c r="I21" s="19"/>
    </row>
    <row r="22" spans="1:9" s="16" customFormat="1" x14ac:dyDescent="0.3">
      <c r="A22" s="19"/>
      <c r="B22" s="20"/>
      <c r="C22" s="19"/>
      <c r="D22" s="19"/>
      <c r="E22" s="19"/>
      <c r="F22" s="19"/>
      <c r="G22" s="19"/>
      <c r="H22" s="19"/>
      <c r="I22" s="19"/>
    </row>
    <row r="23" spans="1:9" s="16" customFormat="1" x14ac:dyDescent="0.3">
      <c r="A23" s="19"/>
      <c r="B23" s="20"/>
      <c r="C23" s="19"/>
      <c r="D23" s="19"/>
      <c r="E23" s="19"/>
      <c r="F23" s="19"/>
      <c r="G23" s="19"/>
      <c r="H23" s="19"/>
      <c r="I23" s="19"/>
    </row>
    <row r="24" spans="1:9" s="16" customFormat="1" x14ac:dyDescent="0.3">
      <c r="A24" s="19"/>
      <c r="B24" s="20"/>
      <c r="C24" s="19"/>
      <c r="D24" s="19"/>
      <c r="E24" s="19"/>
      <c r="F24" s="19"/>
      <c r="G24" s="19"/>
      <c r="H24" s="19"/>
      <c r="I24" s="19"/>
    </row>
    <row r="25" spans="1:9" s="16" customFormat="1" x14ac:dyDescent="0.3">
      <c r="A25" s="19"/>
      <c r="B25" s="20"/>
      <c r="C25" s="19"/>
      <c r="D25" s="19"/>
      <c r="E25" s="19"/>
      <c r="F25" s="19"/>
      <c r="G25" s="19"/>
      <c r="H25" s="19"/>
      <c r="I25" s="19"/>
    </row>
    <row r="26" spans="1:9" s="16" customFormat="1" x14ac:dyDescent="0.3">
      <c r="A26" s="19"/>
      <c r="B26" s="20"/>
      <c r="C26" s="19"/>
      <c r="D26" s="19"/>
      <c r="E26" s="19"/>
      <c r="F26" s="19"/>
      <c r="G26" s="19"/>
      <c r="H26" s="19"/>
      <c r="I26" s="19"/>
    </row>
    <row r="27" spans="1:9" x14ac:dyDescent="0.3">
      <c r="A27" s="19"/>
      <c r="B27" s="20"/>
      <c r="C27" s="19"/>
      <c r="D27" s="19"/>
      <c r="E27" s="19"/>
      <c r="F27" s="19"/>
      <c r="G27" s="19"/>
      <c r="H27" s="19"/>
      <c r="I27" s="19"/>
    </row>
    <row r="28" spans="1:9" x14ac:dyDescent="0.3">
      <c r="A28" s="19"/>
      <c r="B28" s="20"/>
      <c r="C28" s="19"/>
      <c r="D28" s="19"/>
      <c r="E28" s="19"/>
      <c r="F28" s="19"/>
      <c r="G28" s="19"/>
      <c r="H28" s="19"/>
      <c r="I28" s="19"/>
    </row>
    <row r="29" spans="1:9" x14ac:dyDescent="0.3">
      <c r="A29" s="19"/>
      <c r="B29" s="20"/>
      <c r="C29" s="19"/>
      <c r="D29" s="19"/>
      <c r="E29" s="19"/>
      <c r="F29" s="19"/>
      <c r="G29" s="19"/>
      <c r="H29" s="19"/>
      <c r="I29" s="19"/>
    </row>
    <row r="30" spans="1:9" x14ac:dyDescent="0.3">
      <c r="A30" s="19"/>
      <c r="B30" s="20"/>
      <c r="C30" s="19"/>
      <c r="D30" s="19"/>
      <c r="E30" s="19"/>
      <c r="F30" s="19"/>
      <c r="G30" s="19"/>
      <c r="H30" s="19"/>
      <c r="I30" s="19"/>
    </row>
    <row r="31" spans="1:9" x14ac:dyDescent="0.3">
      <c r="A31" s="19"/>
      <c r="B31" s="20"/>
      <c r="C31" s="19"/>
      <c r="D31" s="19"/>
      <c r="E31" s="19"/>
      <c r="F31" s="19"/>
      <c r="G31" s="19"/>
      <c r="H31" s="19"/>
      <c r="I31" s="19"/>
    </row>
    <row r="32" spans="1:9" x14ac:dyDescent="0.3">
      <c r="A32" s="19"/>
      <c r="B32" s="20"/>
      <c r="C32" s="19"/>
      <c r="D32" s="19"/>
      <c r="E32" s="19"/>
      <c r="F32" s="19"/>
      <c r="G32" s="19"/>
      <c r="H32" s="19"/>
      <c r="I32" s="19"/>
    </row>
    <row r="33" spans="1:9" x14ac:dyDescent="0.3">
      <c r="A33" s="19"/>
      <c r="B33" s="20"/>
      <c r="C33" s="19"/>
      <c r="D33" s="19"/>
      <c r="E33" s="19"/>
      <c r="F33" s="19"/>
      <c r="G33" s="19"/>
      <c r="H33" s="19"/>
      <c r="I33" s="19"/>
    </row>
    <row r="34" spans="1:9" x14ac:dyDescent="0.3">
      <c r="A34" s="19"/>
      <c r="B34" s="20"/>
      <c r="C34" s="19"/>
      <c r="D34" s="19"/>
      <c r="E34" s="19"/>
      <c r="F34" s="19"/>
      <c r="G34" s="19"/>
      <c r="H34" s="19"/>
      <c r="I34" s="19"/>
    </row>
    <row r="35" spans="1:9" x14ac:dyDescent="0.3">
      <c r="A35" s="19"/>
      <c r="B35" s="20"/>
      <c r="C35" s="19"/>
      <c r="D35" s="19"/>
      <c r="E35" s="19"/>
      <c r="F35" s="19"/>
      <c r="G35" s="19"/>
      <c r="H35" s="19"/>
      <c r="I35" s="19"/>
    </row>
    <row r="36" spans="1:9" x14ac:dyDescent="0.3">
      <c r="A36" s="19"/>
      <c r="B36" s="20"/>
      <c r="C36" s="19"/>
      <c r="D36" s="19"/>
      <c r="E36" s="19"/>
      <c r="F36" s="19"/>
      <c r="G36" s="19"/>
      <c r="H36" s="19"/>
      <c r="I36" s="19"/>
    </row>
    <row r="37" spans="1:9" ht="14.4" customHeight="1" x14ac:dyDescent="0.3">
      <c r="A37" s="19"/>
      <c r="B37" s="20"/>
      <c r="C37" s="19"/>
      <c r="D37" s="19"/>
      <c r="E37" s="19"/>
      <c r="F37" s="19"/>
      <c r="G37" s="19"/>
      <c r="H37" s="19"/>
      <c r="I37" s="19"/>
    </row>
    <row r="38" spans="1:9" ht="14.4" customHeight="1" x14ac:dyDescent="0.3">
      <c r="A38" s="19"/>
      <c r="B38" s="20"/>
      <c r="C38" s="19"/>
      <c r="D38" s="19"/>
      <c r="E38" s="19"/>
      <c r="F38" s="19"/>
      <c r="G38" s="19"/>
      <c r="H38" s="19"/>
      <c r="I38" s="19"/>
    </row>
  </sheetData>
  <mergeCells count="2">
    <mergeCell ref="B2:G2"/>
    <mergeCell ref="E3:F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>
                <anchor moveWithCells="1" sizeWithCells="1">
                  <from>
                    <xdr:col>2</xdr:col>
                    <xdr:colOff>647700</xdr:colOff>
                    <xdr:row>8</xdr:row>
                    <xdr:rowOff>53340</xdr:rowOff>
                  </from>
                  <to>
                    <xdr:col>4</xdr:col>
                    <xdr:colOff>624840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WARNING" error="No data " xr:uid="{D19128C8-5D2E-4AFB-90AD-4F2AB1E7ECDE}">
          <x14:formula1>
            <xm:f>DROPDOWN!$A:$A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D60C3-263C-4914-B77D-C06C8DF64CE0}">
  <sheetPr codeName="Sheet3">
    <tabColor rgb="FF7030A0"/>
  </sheetPr>
  <dimension ref="A1:B13"/>
  <sheetViews>
    <sheetView workbookViewId="0">
      <selection activeCell="A2" sqref="A2"/>
    </sheetView>
  </sheetViews>
  <sheetFormatPr defaultRowHeight="14.4" x14ac:dyDescent="0.3"/>
  <cols>
    <col min="1" max="1" width="18.44140625" bestFit="1" customWidth="1"/>
    <col min="2" max="2" width="20.6640625" bestFit="1" customWidth="1"/>
  </cols>
  <sheetData>
    <row r="1" spans="1:2" x14ac:dyDescent="0.3">
      <c r="A1" s="26" t="s">
        <v>17</v>
      </c>
      <c r="B1" t="s">
        <v>21</v>
      </c>
    </row>
    <row r="2" spans="1:2" x14ac:dyDescent="0.3">
      <c r="A2" t="s">
        <v>7</v>
      </c>
      <c r="B2" t="s">
        <v>22</v>
      </c>
    </row>
    <row r="3" spans="1:2" x14ac:dyDescent="0.3">
      <c r="A3" t="s">
        <v>9</v>
      </c>
      <c r="B3" t="s">
        <v>23</v>
      </c>
    </row>
    <row r="4" spans="1:2" x14ac:dyDescent="0.3">
      <c r="A4" t="s">
        <v>1</v>
      </c>
      <c r="B4" t="s">
        <v>24</v>
      </c>
    </row>
    <row r="5" spans="1:2" x14ac:dyDescent="0.3">
      <c r="A5" t="s">
        <v>10</v>
      </c>
      <c r="B5" t="s">
        <v>25</v>
      </c>
    </row>
    <row r="6" spans="1:2" x14ac:dyDescent="0.3">
      <c r="A6" t="s">
        <v>11</v>
      </c>
      <c r="B6" t="s">
        <v>26</v>
      </c>
    </row>
    <row r="7" spans="1:2" x14ac:dyDescent="0.3">
      <c r="A7" t="s">
        <v>12</v>
      </c>
      <c r="B7" t="s">
        <v>27</v>
      </c>
    </row>
    <row r="8" spans="1:2" x14ac:dyDescent="0.3">
      <c r="A8" t="s">
        <v>13</v>
      </c>
      <c r="B8" t="s">
        <v>28</v>
      </c>
    </row>
    <row r="9" spans="1:2" x14ac:dyDescent="0.3">
      <c r="A9" t="s">
        <v>14</v>
      </c>
      <c r="B9" t="s">
        <v>29</v>
      </c>
    </row>
    <row r="10" spans="1:2" x14ac:dyDescent="0.3">
      <c r="A10" t="s">
        <v>15</v>
      </c>
      <c r="B10" t="s">
        <v>30</v>
      </c>
    </row>
    <row r="11" spans="1:2" x14ac:dyDescent="0.3">
      <c r="B11" t="s">
        <v>31</v>
      </c>
    </row>
    <row r="12" spans="1:2" x14ac:dyDescent="0.3">
      <c r="B12" t="s">
        <v>32</v>
      </c>
    </row>
    <row r="13" spans="1:2" x14ac:dyDescent="0.3">
      <c r="B13" t="s">
        <v>33</v>
      </c>
    </row>
  </sheetData>
  <sheetProtection algorithmName="SHA-512" hashValue="UdKWZIodvAux14Ercqgn5+9l/SZ1ajviF7pD3Wa+kOtxDZjCCB2POgvBztJb5E/Dm1wSn+WYJZRqBYkh0crpxQ==" saltValue="F0VhRy9fxlgwr+lUwpwRKg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13FD4-D54D-4B02-841F-E8631B8F9FED}">
  <sheetPr codeName="Sheet2"/>
  <dimension ref="A1:XFC3"/>
  <sheetViews>
    <sheetView workbookViewId="0">
      <selection activeCell="D3" sqref="D3"/>
    </sheetView>
  </sheetViews>
  <sheetFormatPr defaultColWidth="0" defaultRowHeight="14.4" zeroHeight="1" x14ac:dyDescent="0.3"/>
  <cols>
    <col min="1" max="21" width="8.88671875" customWidth="1"/>
    <col min="22" max="16383" width="8.88671875" hidden="1"/>
    <col min="16384" max="16384" width="10.21875" hidden="1"/>
  </cols>
  <sheetData>
    <row r="1" spans="1:9" x14ac:dyDescent="0.3">
      <c r="A1">
        <v>3</v>
      </c>
      <c r="B1" s="3">
        <v>45626.622877314818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</row>
    <row r="2" spans="1:9" x14ac:dyDescent="0.3"/>
    <row r="3" spans="1:9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REQUIPMENT INPUT</vt:lpstr>
      <vt:lpstr>EQUIPMENT MONITORING DATA</vt:lpstr>
      <vt:lpstr>EQUIPMENT SEARCH</vt:lpstr>
      <vt:lpstr>LOCATION</vt:lpstr>
      <vt:lpstr>EQUIPMENT INPUT</vt:lpstr>
      <vt:lpstr>FORMULA</vt:lpstr>
      <vt:lpstr>FORM SEARCH</vt:lpstr>
      <vt:lpstr>DROPDOWN</vt:lpstr>
      <vt:lpstr>RAW DATA</vt:lpstr>
      <vt:lpstr>'EQUIPMENT SEARCH'!Print_Area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 ang</dc:creator>
  <cp:lastModifiedBy>emtsobrevega@gmail.com</cp:lastModifiedBy>
  <cp:lastPrinted>2025-03-01T13:29:22Z</cp:lastPrinted>
  <dcterms:created xsi:type="dcterms:W3CDTF">2024-11-30T03:07:32Z</dcterms:created>
  <dcterms:modified xsi:type="dcterms:W3CDTF">2025-03-01T13:30:15Z</dcterms:modified>
</cp:coreProperties>
</file>